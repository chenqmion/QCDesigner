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8960" tabRatio="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<sst xmlns="http://schemas.openxmlformats.org/spreadsheetml/2006/main" count="12" uniqueCount="6">
  <si>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Sample</t>
  </si>
  <si>
    <t>Voltage (V)</t>
  </si>
  <si>
    <t>Current (uA)</t>
  </si>
  <si>
    <t>Resistance (kOhm)</t>
  </si>
  <si>
    <t>ground plane resistance</t>
  </si>
  <si>
    <t>substrate resistance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</si>
</sst>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0;[Red]0.00"/>
    <numFmt numFmtId="177" formatCode="0.0000"/>
    <numFmt numFmtId="178" formatCode="hh:mm"/>
    <numFmt numFmtId="179" formatCode="0.000"/>
  </numFmts>
  <fonts count="25">
    <font>
      <sz val="11"/>
      <color theme="1"/>
      <name val="Calibri"/>
      <charset val="1"/>
    </font>
    <font>
      <b/>
      <sz val="11"/>
      <color theme="1"/>
      <name val="Calibri"/>
      <charset val="1"/>
    </font>
    <font>
      <sz val="11"/>
      <name val="Calibri"/>
      <charset val="1"/>
    </font>
    <font>
      <sz val="11"/>
      <color rgb="FFFF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 applyProtection="1"/>
    <xf numFmtId="176" fontId="0" fillId="0" borderId="0" xfId="0" applyNumberFormat="1" applyAlignment="1" applyProtection="1"/>
    <xf numFmtId="0" fontId="1" fillId="0" borderId="0" xfId="0" applyFont="1" applyAlignment="1" applyProtection="1"/>
    <xf numFmtId="177" fontId="0" fillId="0" borderId="0" xfId="0" applyNumberFormat="1" applyAlignment="1" applyProtection="1"/>
    <xf numFmtId="0" fontId="2" fillId="0" borderId="0" xfId="0" applyFont="1" applyAlignment="1" applyProtection="1"/>
    <xf numFmtId="178" fontId="0" fillId="0" borderId="0" xfId="0" applyNumberFormat="1" applyAlignment="1" applyProtection="1"/>
    <xf numFmtId="179" fontId="0" fillId="0" borderId="0" xfId="0" applyNumberFormat="1" applyAlignment="1" applyProtection="1"/>
    <xf numFmtId="0" fontId="3" fillId="0" borderId="0" xfId="0" applyFont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57"/>
  <sheetViews>
    <sheetView tabSelected="1" topLeftCell="A68" workbookViewId="0">
      <selection activeCell="F84" sqref="F84:F108"/>
    </sheetView>
  </sheetViews>
  <sheetFormatPr defaultColWidth="8.54464285714286" defaultRowHeight="16.8"/>
  <cols>
    <col min="1" max="1" width="20.1428571428571" style="1" customWidth="1"/>
    <col min="3" max="3" width="10.8482142857143" style="1" customWidth="1"/>
    <col min="4" max="4" width="11" style="1" customWidth="1"/>
    <col min="5" max="5" width="16.8392857142857" style="2" customWidth="1"/>
    <col min="6" max="6" width="18.1428571428571" style="1" customWidth="1"/>
    <col min="9" max="9" width="16.4285714285714" style="1" customWidth="1"/>
    <col min="11" max="11" width="10.1428571428571" style="1" customWidth="1"/>
    <col min="17" max="17" width="9.14285714285714" style="1" customWidth="1"/>
    <col min="16379" max="16384" width="11.5267857142857" style="1" customWidth="1"/>
  </cols>
  <sheetData>
    <row r="1" spans="1:14">
      <c r="A1" s="3" t="s">
        <v>0</v>
      </c>
      <c r="C1" s="1" t="s">
        <v>1</v>
      </c>
      <c r="D1" s="1" t="s">
        <v>2</v>
      </c>
      <c r="E1" s="2" t="s">
        <v>3</v>
      </c>
    </row>
    <row r="2" spans="1:14">
      <c r="A2" s="1" t="s">
        <v>4</v>
      </c>
      <c r="C2" s="1">
        <v>0.001</v>
      </c>
      <c r="D2" s="4">
        <v>105</v>
      </c>
      <c r="E2" s="2">
        <f>C2/(D2*0.000001)/1000</f>
        <v>0.00952380952380952</v>
      </c>
      <c r="F2" s="5">
        <f t="shared" ref="F2:F65" si="0">E2*1000</f>
        <v>9.52380952380953</v>
      </c>
    </row>
    <row r="3" spans="1:14">
      <c r="A3" s="1" t="s">
        <v>5</v>
      </c>
      <c r="C3" s="1">
        <v>0.1</v>
      </c>
      <c r="D3" s="4">
        <v>0.011</v>
      </c>
      <c r="E3" s="2">
        <f>C3/(D3*0.000001)/1000</f>
        <v>9090.90909090909</v>
      </c>
      <c r="F3" s="5">
        <f t="shared" si="0"/>
        <v>9090909.09090909</v>
      </c>
      <c r="G3" s="1"/>
    </row>
    <row r="4" spans="1:14">
      <c r="D4" s="4"/>
      <c r="F4" s="5">
        <f t="shared" si="0"/>
        <v>0</v>
      </c>
    </row>
    <row r="5" spans="1:14">
      <c r="D5" s="4"/>
      <c r="E5" s="6"/>
      <c r="F5" s="5">
        <f t="shared" si="0"/>
        <v>0</v>
      </c>
    </row>
    <row r="6" spans="1:14">
      <c r="A6" s="1">
        <v>290</v>
      </c>
      <c r="C6" s="1">
        <v>0.1</v>
      </c>
      <c r="D6" s="4">
        <v>39.41</v>
      </c>
      <c r="E6" s="2">
        <f t="shared" ref="E6:E30" si="1">C6/(D6*0.000001)/1000</f>
        <v>2.53742704897234</v>
      </c>
      <c r="F6" s="5">
        <f t="shared" si="0"/>
        <v>2537.42704897234</v>
      </c>
      <c r="K6" s="7"/>
      <c r="L6" s="7"/>
      <c r="M6" s="7"/>
      <c r="N6" s="7"/>
    </row>
    <row r="7" spans="1:14">
      <c r="A7" s="1">
        <v>290</v>
      </c>
      <c r="C7" s="1">
        <v>0.1</v>
      </c>
      <c r="D7" s="4">
        <v>37.88</v>
      </c>
      <c r="E7" s="2">
        <f t="shared" si="1"/>
        <v>2.63991552270327</v>
      </c>
      <c r="F7" s="5">
        <f t="shared" si="0"/>
        <v>2639.91552270327</v>
      </c>
    </row>
    <row r="8" spans="1:14">
      <c r="A8" s="1">
        <v>290</v>
      </c>
      <c r="C8" s="1">
        <v>0.1</v>
      </c>
      <c r="D8" s="4">
        <v>33.31</v>
      </c>
      <c r="E8" s="2">
        <f t="shared" si="1"/>
        <v>3.00210147102972</v>
      </c>
      <c r="F8" s="5">
        <f t="shared" si="0"/>
        <v>3002.10147102972</v>
      </c>
    </row>
    <row r="9" spans="1:14">
      <c r="A9" s="1">
        <v>290</v>
      </c>
      <c r="C9" s="1">
        <v>0.1</v>
      </c>
      <c r="D9" s="4">
        <v>30.05</v>
      </c>
      <c r="E9" s="2">
        <f t="shared" si="1"/>
        <v>3.32778702163062</v>
      </c>
      <c r="F9" s="5">
        <f t="shared" si="0"/>
        <v>3327.78702163062</v>
      </c>
    </row>
    <row r="10" spans="1:14">
      <c r="A10" s="1">
        <v>290</v>
      </c>
      <c r="C10" s="1">
        <v>0.1</v>
      </c>
      <c r="D10" s="4">
        <v>31.5</v>
      </c>
      <c r="E10" s="2">
        <f t="shared" si="1"/>
        <v>3.17460317460317</v>
      </c>
      <c r="F10" s="5">
        <f t="shared" si="0"/>
        <v>3174.60317460317</v>
      </c>
    </row>
    <row r="11" spans="1:14">
      <c r="A11" s="1">
        <v>280</v>
      </c>
      <c r="C11" s="1">
        <v>0.1</v>
      </c>
      <c r="D11" s="4">
        <v>35.15</v>
      </c>
      <c r="E11" s="2">
        <f t="shared" si="1"/>
        <v>2.84495021337127</v>
      </c>
      <c r="F11" s="5">
        <f t="shared" si="0"/>
        <v>2844.95021337127</v>
      </c>
    </row>
    <row r="12" spans="1:14">
      <c r="A12" s="1">
        <v>280</v>
      </c>
      <c r="C12" s="1">
        <v>0.1</v>
      </c>
      <c r="D12" s="4">
        <v>32.88</v>
      </c>
      <c r="E12" s="2">
        <f t="shared" si="1"/>
        <v>3.04136253041363</v>
      </c>
      <c r="F12" s="5">
        <f t="shared" si="0"/>
        <v>3041.36253041363</v>
      </c>
    </row>
    <row r="13" spans="1:14">
      <c r="A13" s="1">
        <v>280</v>
      </c>
      <c r="C13" s="1">
        <v>0.1</v>
      </c>
      <c r="D13" s="4">
        <v>26.9</v>
      </c>
      <c r="E13" s="2">
        <f t="shared" si="1"/>
        <v>3.71747211895911</v>
      </c>
      <c r="F13" s="5">
        <f t="shared" si="0"/>
        <v>3717.47211895911</v>
      </c>
    </row>
    <row r="14" spans="1:14">
      <c r="A14" s="1">
        <v>280</v>
      </c>
      <c r="C14" s="1">
        <v>0.1</v>
      </c>
      <c r="D14" s="4">
        <v>28.44</v>
      </c>
      <c r="E14" s="2">
        <f t="shared" si="1"/>
        <v>3.51617440225035</v>
      </c>
      <c r="F14" s="5">
        <f t="shared" si="0"/>
        <v>3516.17440225035</v>
      </c>
    </row>
    <row r="15" spans="1:14">
      <c r="A15" s="1">
        <v>280</v>
      </c>
      <c r="C15" s="1">
        <v>0.1</v>
      </c>
      <c r="D15" s="4">
        <v>24.27</v>
      </c>
      <c r="E15" s="2">
        <f t="shared" si="1"/>
        <v>4.12031314379893</v>
      </c>
      <c r="F15" s="5">
        <f t="shared" si="0"/>
        <v>4120.31314379893</v>
      </c>
    </row>
    <row r="16" spans="1:14">
      <c r="A16" s="1">
        <v>270</v>
      </c>
      <c r="C16" s="1">
        <v>0.1</v>
      </c>
      <c r="D16" s="4">
        <v>31.33</v>
      </c>
      <c r="E16" s="2">
        <f t="shared" si="1"/>
        <v>3.19182891797</v>
      </c>
      <c r="F16" s="5">
        <f t="shared" si="0"/>
        <v>3191.82891797</v>
      </c>
    </row>
    <row r="17" spans="1:6">
      <c r="A17" s="1">
        <v>270</v>
      </c>
      <c r="C17" s="1">
        <v>0.1</v>
      </c>
      <c r="D17" s="4">
        <v>24.1</v>
      </c>
      <c r="E17" s="2">
        <f t="shared" si="1"/>
        <v>4.149377593361</v>
      </c>
      <c r="F17" s="5">
        <f t="shared" si="0"/>
        <v>4149.377593361</v>
      </c>
    </row>
    <row r="18" spans="1:6">
      <c r="A18" s="1">
        <v>270</v>
      </c>
      <c r="C18" s="1">
        <v>0.1</v>
      </c>
      <c r="D18" s="4">
        <v>22.03</v>
      </c>
      <c r="E18" s="2">
        <f t="shared" si="1"/>
        <v>4.53926463912846</v>
      </c>
      <c r="F18" s="5">
        <f t="shared" si="0"/>
        <v>4539.26463912846</v>
      </c>
    </row>
    <row r="19" spans="1:6">
      <c r="A19" s="1">
        <v>270</v>
      </c>
      <c r="C19" s="1">
        <v>0.1</v>
      </c>
      <c r="D19" s="4">
        <v>21.98</v>
      </c>
      <c r="E19" s="2">
        <f t="shared" si="1"/>
        <v>4.54959053685168</v>
      </c>
      <c r="F19" s="5">
        <f t="shared" si="0"/>
        <v>4549.59053685168</v>
      </c>
    </row>
    <row r="20" spans="1:6">
      <c r="A20" s="1">
        <v>270</v>
      </c>
      <c r="C20" s="1">
        <v>0.1</v>
      </c>
      <c r="D20" s="4">
        <v>21.95</v>
      </c>
      <c r="E20" s="2">
        <f t="shared" si="1"/>
        <v>4.55580865603645</v>
      </c>
      <c r="F20" s="5">
        <f t="shared" si="0"/>
        <v>4555.80865603645</v>
      </c>
    </row>
    <row r="21" spans="1:6">
      <c r="A21" s="1">
        <v>260</v>
      </c>
      <c r="C21" s="1">
        <v>0.1</v>
      </c>
      <c r="D21" s="4">
        <v>28.22</v>
      </c>
      <c r="E21" s="2">
        <f t="shared" si="1"/>
        <v>3.54358610914245</v>
      </c>
      <c r="F21" s="5">
        <f t="shared" si="0"/>
        <v>3543.58610914245</v>
      </c>
    </row>
    <row r="22" spans="1:6">
      <c r="A22" s="1">
        <v>260</v>
      </c>
      <c r="C22" s="1">
        <v>0.1</v>
      </c>
      <c r="D22" s="4">
        <v>19.56</v>
      </c>
      <c r="E22" s="2">
        <f t="shared" si="1"/>
        <v>5.11247443762781</v>
      </c>
      <c r="F22" s="5">
        <f t="shared" si="0"/>
        <v>5112.47443762781</v>
      </c>
    </row>
    <row r="23" spans="1:6">
      <c r="A23" s="1">
        <v>260</v>
      </c>
      <c r="C23" s="1">
        <v>0.1</v>
      </c>
      <c r="D23" s="4">
        <v>22.27</v>
      </c>
      <c r="E23" s="2">
        <f t="shared" si="1"/>
        <v>4.49034575662326</v>
      </c>
      <c r="F23" s="5">
        <f t="shared" si="0"/>
        <v>4490.34575662326</v>
      </c>
    </row>
    <row r="24" spans="1:6">
      <c r="A24" s="1">
        <v>260</v>
      </c>
      <c r="C24" s="1">
        <v>0.1</v>
      </c>
      <c r="D24" s="4">
        <v>22.43</v>
      </c>
      <c r="E24" s="2">
        <f t="shared" si="1"/>
        <v>4.45831475702185</v>
      </c>
      <c r="F24" s="5">
        <f t="shared" si="0"/>
        <v>4458.31475702185</v>
      </c>
    </row>
    <row r="25" spans="1:6">
      <c r="A25" s="1">
        <v>260</v>
      </c>
      <c r="C25" s="1">
        <v>0.1</v>
      </c>
      <c r="D25" s="4">
        <v>24.78</v>
      </c>
      <c r="E25" s="2">
        <f t="shared" si="1"/>
        <v>4.03551251008878</v>
      </c>
      <c r="F25" s="5">
        <f t="shared" si="0"/>
        <v>4035.51251008878</v>
      </c>
    </row>
    <row r="26" spans="1:6">
      <c r="A26" s="1">
        <v>250</v>
      </c>
      <c r="C26" s="1">
        <v>0.1</v>
      </c>
      <c r="D26" s="4">
        <v>22.64</v>
      </c>
      <c r="E26" s="2">
        <f t="shared" si="1"/>
        <v>4.41696113074205</v>
      </c>
      <c r="F26" s="5">
        <f t="shared" si="0"/>
        <v>4416.96113074205</v>
      </c>
    </row>
    <row r="27" spans="1:6">
      <c r="A27" s="1">
        <v>250</v>
      </c>
      <c r="C27" s="1">
        <v>0.1</v>
      </c>
      <c r="D27" s="4">
        <v>21.91</v>
      </c>
      <c r="E27" s="2">
        <f t="shared" si="1"/>
        <v>4.56412596987677</v>
      </c>
      <c r="F27" s="5">
        <f t="shared" si="0"/>
        <v>4564.12596987677</v>
      </c>
    </row>
    <row r="28" spans="1:6">
      <c r="A28" s="1">
        <v>250</v>
      </c>
      <c r="C28" s="1">
        <v>0.1</v>
      </c>
      <c r="D28" s="4">
        <v>22.02</v>
      </c>
      <c r="E28" s="2">
        <f t="shared" si="1"/>
        <v>4.54132606721163</v>
      </c>
      <c r="F28" s="5">
        <f t="shared" si="0"/>
        <v>4541.32606721163</v>
      </c>
    </row>
    <row r="29" spans="1:6">
      <c r="A29" s="1">
        <v>250</v>
      </c>
      <c r="C29" s="1">
        <v>0.1</v>
      </c>
      <c r="D29" s="4">
        <v>24.31</v>
      </c>
      <c r="E29" s="2">
        <f t="shared" si="1"/>
        <v>4.11353352529823</v>
      </c>
      <c r="F29" s="5">
        <f t="shared" si="0"/>
        <v>4113.53352529823</v>
      </c>
    </row>
    <row r="30" spans="1:6">
      <c r="A30" s="1">
        <v>250</v>
      </c>
      <c r="C30" s="1">
        <v>0.1</v>
      </c>
      <c r="D30" s="4">
        <v>24.08</v>
      </c>
      <c r="E30" s="2">
        <f t="shared" si="1"/>
        <v>4.15282392026578</v>
      </c>
      <c r="F30" s="5">
        <f t="shared" si="0"/>
        <v>4152.82392026578</v>
      </c>
    </row>
    <row r="31" spans="1:6">
      <c r="E31" s="1"/>
      <c r="F31" s="5">
        <f t="shared" si="0"/>
        <v>0</v>
      </c>
    </row>
    <row r="32" spans="1:6">
      <c r="A32" s="1">
        <v>240</v>
      </c>
      <c r="C32" s="1">
        <v>0.1</v>
      </c>
      <c r="D32" s="4">
        <v>23.21</v>
      </c>
      <c r="E32" s="2">
        <f t="shared" ref="E32:E56" si="2">C32/(D32*0.000001)/1000</f>
        <v>4.30848772081</v>
      </c>
      <c r="F32" s="5">
        <f t="shared" si="0"/>
        <v>4308.48772081</v>
      </c>
    </row>
    <row r="33" spans="1:6">
      <c r="A33" s="1">
        <v>240</v>
      </c>
      <c r="C33" s="1">
        <v>0.1</v>
      </c>
      <c r="D33" s="4">
        <v>23.06</v>
      </c>
      <c r="E33" s="2">
        <f t="shared" si="2"/>
        <v>4.33651344319167</v>
      </c>
      <c r="F33" s="5">
        <f t="shared" si="0"/>
        <v>4336.51344319167</v>
      </c>
    </row>
    <row r="34" spans="1:6">
      <c r="A34" s="1">
        <v>240</v>
      </c>
      <c r="C34" s="1">
        <v>0.1</v>
      </c>
      <c r="D34" s="4">
        <v>21.05</v>
      </c>
      <c r="E34" s="2">
        <f t="shared" si="2"/>
        <v>4.75059382422803</v>
      </c>
      <c r="F34" s="5">
        <f t="shared" si="0"/>
        <v>4750.59382422803</v>
      </c>
    </row>
    <row r="35" spans="1:6">
      <c r="A35" s="1">
        <v>240</v>
      </c>
      <c r="C35" s="1">
        <v>0.1</v>
      </c>
      <c r="D35" s="4">
        <v>21.13</v>
      </c>
      <c r="E35" s="2">
        <f t="shared" si="2"/>
        <v>4.73260766682442</v>
      </c>
      <c r="F35" s="5">
        <f t="shared" si="0"/>
        <v>4732.60766682442</v>
      </c>
    </row>
    <row r="36" spans="1:6">
      <c r="A36" s="1">
        <v>240</v>
      </c>
      <c r="C36" s="1">
        <v>0.1</v>
      </c>
      <c r="D36" s="4">
        <v>20.74</v>
      </c>
      <c r="E36" s="2">
        <f t="shared" si="2"/>
        <v>4.82160077145612</v>
      </c>
      <c r="F36" s="5">
        <f t="shared" si="0"/>
        <v>4821.60077145612</v>
      </c>
    </row>
    <row r="37" spans="1:6">
      <c r="A37" s="1">
        <v>230</v>
      </c>
      <c r="C37" s="1">
        <v>0.1</v>
      </c>
      <c r="D37" s="4">
        <v>20.96</v>
      </c>
      <c r="E37" s="2">
        <f t="shared" si="2"/>
        <v>4.77099236641221</v>
      </c>
      <c r="F37" s="5">
        <f t="shared" si="0"/>
        <v>4770.99236641221</v>
      </c>
    </row>
    <row r="38" spans="1:6">
      <c r="A38" s="1">
        <v>230</v>
      </c>
      <c r="C38" s="1">
        <v>0.1</v>
      </c>
      <c r="D38" s="4">
        <v>19.68</v>
      </c>
      <c r="E38" s="2">
        <f t="shared" si="2"/>
        <v>5.08130081300813</v>
      </c>
      <c r="F38" s="5">
        <f t="shared" si="0"/>
        <v>5081.30081300813</v>
      </c>
    </row>
    <row r="39" spans="1:6">
      <c r="A39" s="1">
        <v>230</v>
      </c>
      <c r="C39" s="1">
        <v>0.1</v>
      </c>
      <c r="D39" s="4">
        <v>16.52</v>
      </c>
      <c r="E39" s="2">
        <f t="shared" si="2"/>
        <v>6.05326876513317</v>
      </c>
      <c r="F39" s="5">
        <f t="shared" si="0"/>
        <v>6053.26876513317</v>
      </c>
    </row>
    <row r="40" spans="1:6">
      <c r="A40" s="1">
        <v>230</v>
      </c>
      <c r="C40" s="1">
        <v>0.1</v>
      </c>
      <c r="D40" s="4">
        <v>6.5</v>
      </c>
      <c r="E40" s="2">
        <f t="shared" si="2"/>
        <v>15.3846153846154</v>
      </c>
      <c r="F40" s="5">
        <f t="shared" si="0"/>
        <v>15384.6153846154</v>
      </c>
    </row>
    <row r="41" spans="1:6">
      <c r="A41" s="1">
        <v>230</v>
      </c>
      <c r="C41" s="1">
        <v>0.1</v>
      </c>
      <c r="D41" s="4">
        <v>8.5</v>
      </c>
      <c r="E41" s="2">
        <f t="shared" si="2"/>
        <v>11.7647058823529</v>
      </c>
      <c r="F41" s="5">
        <f t="shared" si="0"/>
        <v>11764.7058823529</v>
      </c>
    </row>
    <row r="42" spans="1:6">
      <c r="A42" s="1">
        <v>220</v>
      </c>
      <c r="C42" s="1">
        <v>0.1</v>
      </c>
      <c r="D42" s="4">
        <v>18.88</v>
      </c>
      <c r="E42" s="2">
        <f t="shared" si="2"/>
        <v>5.29661016949153</v>
      </c>
      <c r="F42" s="5">
        <f t="shared" si="0"/>
        <v>5296.61016949153</v>
      </c>
    </row>
    <row r="43" spans="1:6">
      <c r="A43" s="1">
        <v>220</v>
      </c>
      <c r="C43" s="1">
        <v>0.1</v>
      </c>
      <c r="D43" s="4">
        <v>14.97</v>
      </c>
      <c r="E43" s="2">
        <f t="shared" si="2"/>
        <v>6.68002672010688</v>
      </c>
      <c r="F43" s="5">
        <f t="shared" si="0"/>
        <v>6680.02672010688</v>
      </c>
    </row>
    <row r="44" spans="1:6">
      <c r="A44" s="1">
        <v>220</v>
      </c>
      <c r="C44" s="1">
        <v>0.1</v>
      </c>
      <c r="D44" s="4">
        <v>15.4</v>
      </c>
      <c r="E44" s="2">
        <f t="shared" si="2"/>
        <v>6.49350649350649</v>
      </c>
      <c r="F44" s="5">
        <f t="shared" si="0"/>
        <v>6493.50649350649</v>
      </c>
    </row>
    <row r="45" spans="1:6">
      <c r="A45" s="1">
        <v>220</v>
      </c>
      <c r="C45" s="1">
        <v>0.1</v>
      </c>
      <c r="D45" s="4">
        <v>15.84</v>
      </c>
      <c r="E45" s="2">
        <f t="shared" si="2"/>
        <v>6.31313131313131</v>
      </c>
      <c r="F45" s="5">
        <f t="shared" si="0"/>
        <v>6313.13131313131</v>
      </c>
    </row>
    <row r="46" spans="1:6">
      <c r="A46" s="1">
        <v>220</v>
      </c>
      <c r="C46" s="1">
        <v>0.1</v>
      </c>
      <c r="D46" s="4">
        <v>105</v>
      </c>
      <c r="E46" s="2">
        <f t="shared" si="2"/>
        <v>0.952380952380953</v>
      </c>
      <c r="F46" s="5">
        <f t="shared" si="0"/>
        <v>952.380952380953</v>
      </c>
    </row>
    <row r="47" spans="1:6">
      <c r="A47" s="1">
        <v>210</v>
      </c>
      <c r="C47" s="1">
        <v>0.1</v>
      </c>
      <c r="D47" s="4">
        <v>15.34</v>
      </c>
      <c r="E47" s="2">
        <f t="shared" si="2"/>
        <v>6.51890482398957</v>
      </c>
      <c r="F47" s="5">
        <f t="shared" si="0"/>
        <v>6518.90482398957</v>
      </c>
    </row>
    <row r="48" spans="1:6">
      <c r="A48" s="1">
        <v>210</v>
      </c>
      <c r="C48" s="1">
        <v>0.1</v>
      </c>
      <c r="D48" s="4">
        <v>15.36</v>
      </c>
      <c r="E48" s="2">
        <f t="shared" si="2"/>
        <v>6.51041666666667</v>
      </c>
      <c r="F48" s="5">
        <f t="shared" si="0"/>
        <v>6510.41666666667</v>
      </c>
    </row>
    <row r="49" spans="1:6">
      <c r="A49" s="1">
        <v>210</v>
      </c>
      <c r="C49" s="1">
        <v>0.1</v>
      </c>
      <c r="D49" s="4">
        <v>15.5</v>
      </c>
      <c r="E49" s="2">
        <f t="shared" si="2"/>
        <v>6.45161290322581</v>
      </c>
      <c r="F49" s="5">
        <f t="shared" si="0"/>
        <v>6451.61290322581</v>
      </c>
    </row>
    <row r="50" spans="1:6">
      <c r="A50" s="1">
        <v>210</v>
      </c>
      <c r="C50" s="1">
        <v>0.1</v>
      </c>
      <c r="D50" s="4">
        <v>14.5</v>
      </c>
      <c r="E50" s="2">
        <f t="shared" si="2"/>
        <v>6.89655172413793</v>
      </c>
      <c r="F50" s="5">
        <f t="shared" si="0"/>
        <v>6896.55172413793</v>
      </c>
    </row>
    <row r="51" spans="1:6">
      <c r="A51" s="1">
        <v>210</v>
      </c>
      <c r="C51" s="1">
        <v>0.1</v>
      </c>
      <c r="D51" s="4">
        <v>13.87</v>
      </c>
      <c r="E51" s="2">
        <f t="shared" si="2"/>
        <v>7.20980533525595</v>
      </c>
      <c r="F51" s="5">
        <f t="shared" si="0"/>
        <v>7209.80533525595</v>
      </c>
    </row>
    <row r="52" spans="1:6">
      <c r="A52" s="1">
        <v>200</v>
      </c>
      <c r="C52" s="1">
        <v>0.1</v>
      </c>
      <c r="D52" s="4">
        <v>13.41</v>
      </c>
      <c r="E52" s="2">
        <f t="shared" si="2"/>
        <v>7.45712155108128</v>
      </c>
      <c r="F52" s="5">
        <f t="shared" si="0"/>
        <v>7457.12155108128</v>
      </c>
    </row>
    <row r="53" spans="1:6">
      <c r="A53" s="1">
        <v>200</v>
      </c>
      <c r="C53" s="1">
        <v>0.1</v>
      </c>
      <c r="D53" s="4">
        <v>12.76</v>
      </c>
      <c r="E53" s="2">
        <f t="shared" si="2"/>
        <v>7.83699059561129</v>
      </c>
      <c r="F53" s="5">
        <f t="shared" si="0"/>
        <v>7836.99059561129</v>
      </c>
    </row>
    <row r="54" spans="1:6">
      <c r="A54" s="1">
        <v>200</v>
      </c>
      <c r="C54" s="1">
        <v>0.1</v>
      </c>
      <c r="D54" s="4">
        <v>12.82</v>
      </c>
      <c r="E54" s="2">
        <f t="shared" si="2"/>
        <v>7.8003120124805</v>
      </c>
      <c r="F54" s="5">
        <f t="shared" si="0"/>
        <v>7800.3120124805</v>
      </c>
    </row>
    <row r="55" spans="1:6">
      <c r="A55" s="1">
        <v>200</v>
      </c>
      <c r="C55" s="1">
        <v>0.1</v>
      </c>
      <c r="D55" s="4">
        <v>12.87</v>
      </c>
      <c r="E55" s="2">
        <f t="shared" si="2"/>
        <v>7.77000777000777</v>
      </c>
      <c r="F55" s="5">
        <f t="shared" si="0"/>
        <v>7770.00777000777</v>
      </c>
    </row>
    <row r="56" spans="1:6">
      <c r="A56" s="1">
        <v>200</v>
      </c>
      <c r="C56" s="1">
        <v>0.1</v>
      </c>
      <c r="D56" s="4">
        <v>13.25</v>
      </c>
      <c r="E56" s="2">
        <f t="shared" si="2"/>
        <v>7.54716981132075</v>
      </c>
      <c r="F56" s="5">
        <f t="shared" si="0"/>
        <v>7547.16981132075</v>
      </c>
    </row>
    <row r="57" spans="1:6">
      <c r="E57" s="1"/>
      <c r="F57" s="5">
        <f t="shared" si="0"/>
        <v>0</v>
      </c>
    </row>
    <row r="58" spans="1:6">
      <c r="A58" s="1">
        <v>190</v>
      </c>
      <c r="C58" s="1">
        <v>0.1</v>
      </c>
      <c r="D58" s="4">
        <v>10.83</v>
      </c>
      <c r="E58" s="2">
        <f t="shared" ref="E58:E82" si="3">C58/(D58*0.000001)/1000</f>
        <v>9.23361034164358</v>
      </c>
      <c r="F58" s="5">
        <f t="shared" si="0"/>
        <v>9233.61034164358</v>
      </c>
    </row>
    <row r="59" spans="1:6">
      <c r="A59" s="1">
        <v>190</v>
      </c>
      <c r="C59" s="1">
        <v>0.1</v>
      </c>
      <c r="D59" s="4">
        <v>10.34</v>
      </c>
      <c r="E59" s="2">
        <f t="shared" si="3"/>
        <v>9.67117988394584</v>
      </c>
      <c r="F59" s="5">
        <f t="shared" si="0"/>
        <v>9671.17988394584</v>
      </c>
    </row>
    <row r="60" spans="1:6">
      <c r="A60" s="1">
        <v>190</v>
      </c>
      <c r="C60" s="1">
        <v>0.1</v>
      </c>
      <c r="D60" s="4">
        <v>11.34</v>
      </c>
      <c r="E60" s="2">
        <f t="shared" si="3"/>
        <v>8.81834215167549</v>
      </c>
      <c r="F60" s="5">
        <f t="shared" si="0"/>
        <v>8818.34215167549</v>
      </c>
    </row>
    <row r="61" spans="1:6">
      <c r="A61" s="1">
        <v>190</v>
      </c>
      <c r="C61" s="1">
        <v>0.1</v>
      </c>
      <c r="D61" s="4">
        <v>11.2</v>
      </c>
      <c r="E61" s="2">
        <f t="shared" si="3"/>
        <v>8.92857142857143</v>
      </c>
      <c r="F61" s="5">
        <f t="shared" si="0"/>
        <v>8928.57142857143</v>
      </c>
    </row>
    <row r="62" spans="1:6">
      <c r="A62" s="1">
        <v>190</v>
      </c>
      <c r="C62" s="1">
        <v>0.1</v>
      </c>
      <c r="D62" s="4">
        <v>11.82</v>
      </c>
      <c r="E62" s="2">
        <f t="shared" si="3"/>
        <v>8.46023688663283</v>
      </c>
      <c r="F62" s="5">
        <f t="shared" si="0"/>
        <v>8460.23688663283</v>
      </c>
    </row>
    <row r="63" spans="1:6">
      <c r="A63" s="1">
        <v>180</v>
      </c>
      <c r="C63" s="1">
        <v>0.1</v>
      </c>
      <c r="D63" s="4">
        <v>9.18</v>
      </c>
      <c r="E63" s="2">
        <f t="shared" si="3"/>
        <v>10.8932461873638</v>
      </c>
      <c r="F63" s="5">
        <f t="shared" si="0"/>
        <v>10893.2461873638</v>
      </c>
    </row>
    <row r="64" spans="1:6">
      <c r="A64" s="1">
        <v>180</v>
      </c>
      <c r="C64" s="1">
        <v>0.1</v>
      </c>
      <c r="D64" s="4">
        <v>9.69</v>
      </c>
      <c r="E64" s="2">
        <f t="shared" si="3"/>
        <v>10.3199174406605</v>
      </c>
      <c r="F64" s="5">
        <f t="shared" si="0"/>
        <v>10319.9174406605</v>
      </c>
    </row>
    <row r="65" spans="1:6">
      <c r="A65" s="1">
        <v>180</v>
      </c>
      <c r="C65" s="1">
        <v>0.1</v>
      </c>
      <c r="D65" s="4">
        <v>9.39</v>
      </c>
      <c r="E65" s="2">
        <f t="shared" si="3"/>
        <v>10.6496272630458</v>
      </c>
      <c r="F65" s="5">
        <f t="shared" si="0"/>
        <v>10649.6272630458</v>
      </c>
    </row>
    <row r="66" spans="1:6">
      <c r="A66" s="1">
        <v>180</v>
      </c>
      <c r="C66" s="1">
        <v>0.1</v>
      </c>
      <c r="D66" s="4">
        <v>9.87</v>
      </c>
      <c r="E66" s="2">
        <f t="shared" si="3"/>
        <v>10.1317122593718</v>
      </c>
      <c r="F66" s="5">
        <f t="shared" ref="F66:F108" si="4">E66*1000</f>
        <v>10131.7122593718</v>
      </c>
    </row>
    <row r="67" spans="1:6">
      <c r="A67" s="1">
        <v>180</v>
      </c>
      <c r="C67" s="1">
        <v>0.1</v>
      </c>
      <c r="D67" s="4">
        <v>9.9</v>
      </c>
      <c r="E67" s="2">
        <f t="shared" si="3"/>
        <v>10.1010101010101</v>
      </c>
      <c r="F67" s="5">
        <f t="shared" si="4"/>
        <v>10101.0101010101</v>
      </c>
    </row>
    <row r="68" spans="1:6">
      <c r="A68" s="1">
        <v>170</v>
      </c>
      <c r="C68" s="1">
        <v>0.2</v>
      </c>
      <c r="D68" s="4">
        <v>17.23</v>
      </c>
      <c r="E68" s="2">
        <f t="shared" si="3"/>
        <v>11.6076610562972</v>
      </c>
      <c r="F68" s="5">
        <f t="shared" si="4"/>
        <v>11607.6610562972</v>
      </c>
    </row>
    <row r="69" spans="1:6">
      <c r="A69" s="1">
        <v>170</v>
      </c>
      <c r="C69" s="1">
        <v>0.2</v>
      </c>
      <c r="D69" s="4">
        <v>16.19</v>
      </c>
      <c r="E69" s="2">
        <f t="shared" si="3"/>
        <v>12.3533045089561</v>
      </c>
      <c r="F69" s="5">
        <f t="shared" si="4"/>
        <v>12353.3045089561</v>
      </c>
    </row>
    <row r="70" spans="1:6">
      <c r="A70" s="1">
        <v>170</v>
      </c>
      <c r="C70" s="1">
        <v>0.2</v>
      </c>
      <c r="D70" s="4">
        <v>15.39</v>
      </c>
      <c r="E70" s="2">
        <f t="shared" si="3"/>
        <v>12.9954515919428</v>
      </c>
      <c r="F70" s="5">
        <f t="shared" si="4"/>
        <v>12995.4515919428</v>
      </c>
    </row>
    <row r="71" spans="1:6">
      <c r="A71" s="1">
        <v>170</v>
      </c>
      <c r="C71" s="1">
        <v>0.2</v>
      </c>
      <c r="D71" s="4">
        <v>16.03</v>
      </c>
      <c r="E71" s="2">
        <f t="shared" si="3"/>
        <v>12.4766063630692</v>
      </c>
      <c r="F71" s="5">
        <f t="shared" si="4"/>
        <v>12476.6063630692</v>
      </c>
    </row>
    <row r="72" spans="1:6">
      <c r="A72" s="1">
        <v>170</v>
      </c>
      <c r="C72" s="1">
        <v>0.2</v>
      </c>
      <c r="D72" s="4">
        <v>15.32</v>
      </c>
      <c r="E72" s="2">
        <f t="shared" si="3"/>
        <v>13.0548302872063</v>
      </c>
      <c r="F72" s="5">
        <f t="shared" si="4"/>
        <v>13054.8302872063</v>
      </c>
    </row>
    <row r="73" spans="1:6">
      <c r="A73" s="1">
        <v>160</v>
      </c>
      <c r="C73" s="1">
        <v>0.2</v>
      </c>
      <c r="D73" s="4">
        <v>12.68</v>
      </c>
      <c r="E73" s="2">
        <f t="shared" si="3"/>
        <v>15.7728706624606</v>
      </c>
      <c r="F73" s="5">
        <f t="shared" si="4"/>
        <v>15772.8706624606</v>
      </c>
    </row>
    <row r="74" spans="1:6">
      <c r="A74" s="1">
        <v>160</v>
      </c>
      <c r="C74" s="1">
        <v>0.2</v>
      </c>
      <c r="D74" s="4">
        <v>13.21</v>
      </c>
      <c r="E74" s="2">
        <f t="shared" si="3"/>
        <v>15.1400454201363</v>
      </c>
      <c r="F74" s="5">
        <f t="shared" si="4"/>
        <v>15140.0454201363</v>
      </c>
    </row>
    <row r="75" spans="1:6">
      <c r="A75" s="1">
        <v>160</v>
      </c>
      <c r="C75" s="1">
        <v>0.2</v>
      </c>
      <c r="D75" s="4">
        <v>12.76</v>
      </c>
      <c r="E75" s="2">
        <f t="shared" si="3"/>
        <v>15.6739811912226</v>
      </c>
      <c r="F75" s="5">
        <f t="shared" si="4"/>
        <v>15673.9811912226</v>
      </c>
    </row>
    <row r="76" spans="1:6">
      <c r="A76" s="1">
        <v>160</v>
      </c>
      <c r="C76" s="1">
        <v>0.2</v>
      </c>
      <c r="D76" s="4">
        <v>12.47</v>
      </c>
      <c r="E76" s="2">
        <f t="shared" si="3"/>
        <v>16.0384923817161</v>
      </c>
      <c r="F76" s="5">
        <f t="shared" si="4"/>
        <v>16038.4923817161</v>
      </c>
    </row>
    <row r="77" spans="1:6">
      <c r="A77" s="1">
        <v>160</v>
      </c>
      <c r="C77" s="1">
        <v>0.2</v>
      </c>
      <c r="D77" s="4">
        <v>13.41</v>
      </c>
      <c r="E77" s="2">
        <f t="shared" si="3"/>
        <v>14.9142431021626</v>
      </c>
      <c r="F77" s="5">
        <f t="shared" si="4"/>
        <v>14914.2431021626</v>
      </c>
    </row>
    <row r="78" spans="1:6">
      <c r="A78" s="1">
        <v>150</v>
      </c>
      <c r="C78" s="1">
        <v>0.2</v>
      </c>
      <c r="D78" s="4">
        <v>10.87</v>
      </c>
      <c r="E78" s="2">
        <f t="shared" si="3"/>
        <v>18.3992640294388</v>
      </c>
      <c r="F78" s="5">
        <f t="shared" si="4"/>
        <v>18399.2640294388</v>
      </c>
    </row>
    <row r="79" spans="1:6">
      <c r="A79" s="1">
        <v>150</v>
      </c>
      <c r="C79" s="1">
        <v>0.2</v>
      </c>
      <c r="D79" s="4">
        <v>10.7</v>
      </c>
      <c r="E79" s="2">
        <f t="shared" si="3"/>
        <v>18.6915887850467</v>
      </c>
      <c r="F79" s="5">
        <f t="shared" si="4"/>
        <v>18691.5887850467</v>
      </c>
    </row>
    <row r="80" spans="1:6">
      <c r="A80" s="1">
        <v>150</v>
      </c>
      <c r="C80" s="1">
        <v>0.2</v>
      </c>
      <c r="D80" s="4">
        <v>10.74</v>
      </c>
      <c r="E80" s="2">
        <f t="shared" si="3"/>
        <v>18.6219739292365</v>
      </c>
      <c r="F80" s="5">
        <f t="shared" si="4"/>
        <v>18621.9739292365</v>
      </c>
    </row>
    <row r="81" spans="1:6">
      <c r="A81" s="1">
        <v>150</v>
      </c>
      <c r="C81" s="1">
        <v>0.2</v>
      </c>
      <c r="D81" s="4">
        <v>11.3</v>
      </c>
      <c r="E81" s="2">
        <f t="shared" si="3"/>
        <v>17.6991150442478</v>
      </c>
      <c r="F81" s="5">
        <f t="shared" si="4"/>
        <v>17699.1150442478</v>
      </c>
    </row>
    <row r="82" spans="1:6">
      <c r="A82" s="1">
        <v>150</v>
      </c>
      <c r="C82" s="1">
        <v>0.2</v>
      </c>
      <c r="D82" s="4">
        <v>10.67</v>
      </c>
      <c r="E82" s="2">
        <f t="shared" si="3"/>
        <v>18.7441424554827</v>
      </c>
      <c r="F82" s="5">
        <f t="shared" si="4"/>
        <v>18744.1424554827</v>
      </c>
    </row>
    <row r="83" spans="1:6">
      <c r="E83" s="1"/>
      <c r="F83" s="5">
        <f t="shared" si="4"/>
        <v>0</v>
      </c>
    </row>
    <row r="84" spans="1:6">
      <c r="A84" s="1">
        <v>140</v>
      </c>
      <c r="C84" s="1">
        <v>0.2</v>
      </c>
      <c r="D84" s="4">
        <v>105</v>
      </c>
      <c r="E84" s="2">
        <f t="shared" ref="E84:E108" si="5">C84/(D84*0.000001)/1000</f>
        <v>1.90476190476191</v>
      </c>
      <c r="F84" s="5">
        <f t="shared" si="4"/>
        <v>1904.76190476191</v>
      </c>
    </row>
    <row r="85" spans="1:6">
      <c r="A85" s="1">
        <v>140</v>
      </c>
      <c r="C85" s="1">
        <v>0.2</v>
      </c>
      <c r="D85" s="4">
        <v>8.97</v>
      </c>
      <c r="E85" s="2">
        <f t="shared" si="5"/>
        <v>22.2965440356745</v>
      </c>
      <c r="F85" s="5">
        <f t="shared" si="4"/>
        <v>22296.5440356745</v>
      </c>
    </row>
    <row r="86" spans="1:6">
      <c r="A86" s="1">
        <v>140</v>
      </c>
      <c r="C86" s="1">
        <v>0.2</v>
      </c>
      <c r="D86" s="4">
        <v>8.3</v>
      </c>
      <c r="E86" s="2">
        <f t="shared" si="5"/>
        <v>24.0963855421687</v>
      </c>
      <c r="F86" s="5">
        <f t="shared" si="4"/>
        <v>24096.3855421687</v>
      </c>
    </row>
    <row r="87" spans="1:6">
      <c r="A87" s="1">
        <v>140</v>
      </c>
      <c r="C87" s="1">
        <v>0.2</v>
      </c>
      <c r="D87" s="4">
        <v>8.48</v>
      </c>
      <c r="E87" s="2">
        <f t="shared" si="5"/>
        <v>23.5849056603774</v>
      </c>
      <c r="F87" s="5">
        <f t="shared" si="4"/>
        <v>23584.9056603774</v>
      </c>
    </row>
    <row r="88" spans="1:6">
      <c r="A88" s="1">
        <v>140</v>
      </c>
      <c r="C88" s="1">
        <v>0.2</v>
      </c>
      <c r="D88" s="4">
        <v>9</v>
      </c>
      <c r="E88" s="2">
        <f t="shared" si="5"/>
        <v>22.2222222222222</v>
      </c>
      <c r="F88" s="5">
        <f t="shared" si="4"/>
        <v>22222.2222222222</v>
      </c>
    </row>
    <row r="89" spans="1:6">
      <c r="A89" s="1">
        <v>130</v>
      </c>
      <c r="C89" s="1">
        <v>0.2</v>
      </c>
      <c r="D89" s="4">
        <v>7.33</v>
      </c>
      <c r="E89" s="2">
        <f t="shared" si="5"/>
        <v>27.2851296043656</v>
      </c>
      <c r="F89" s="5">
        <f t="shared" si="4"/>
        <v>27285.1296043656</v>
      </c>
    </row>
    <row r="90" spans="1:6">
      <c r="A90" s="1">
        <v>130</v>
      </c>
      <c r="C90" s="1">
        <v>0.2</v>
      </c>
      <c r="D90" s="4">
        <v>6.88</v>
      </c>
      <c r="E90" s="2">
        <f t="shared" si="5"/>
        <v>29.0697674418605</v>
      </c>
      <c r="F90" s="5">
        <f t="shared" si="4"/>
        <v>29069.7674418605</v>
      </c>
    </row>
    <row r="91" spans="1:6">
      <c r="A91" s="1">
        <v>130</v>
      </c>
      <c r="C91" s="1">
        <v>0.2</v>
      </c>
      <c r="D91" s="4">
        <v>6.96</v>
      </c>
      <c r="E91" s="2">
        <f t="shared" si="5"/>
        <v>28.735632183908</v>
      </c>
      <c r="F91" s="5">
        <f t="shared" si="4"/>
        <v>28735.632183908</v>
      </c>
    </row>
    <row r="92" spans="1:6">
      <c r="A92" s="1">
        <v>130</v>
      </c>
      <c r="C92" s="1">
        <v>0.2</v>
      </c>
      <c r="D92" s="4">
        <v>7.33</v>
      </c>
      <c r="E92" s="2">
        <f t="shared" si="5"/>
        <v>27.2851296043656</v>
      </c>
      <c r="F92" s="5">
        <f t="shared" si="4"/>
        <v>27285.1296043656</v>
      </c>
    </row>
    <row r="93" spans="1:6">
      <c r="A93" s="1">
        <v>130</v>
      </c>
      <c r="C93" s="1">
        <v>0.2</v>
      </c>
      <c r="D93" s="4">
        <v>7.03</v>
      </c>
      <c r="E93" s="2">
        <f t="shared" si="5"/>
        <v>28.4495021337127</v>
      </c>
      <c r="F93" s="5">
        <f t="shared" si="4"/>
        <v>28449.5021337127</v>
      </c>
    </row>
    <row r="94" spans="1:6">
      <c r="A94" s="1">
        <v>120</v>
      </c>
      <c r="C94" s="1">
        <v>0.2</v>
      </c>
      <c r="D94" s="4">
        <v>6</v>
      </c>
      <c r="E94" s="2">
        <f t="shared" si="5"/>
        <v>33.3333333333333</v>
      </c>
      <c r="F94" s="5">
        <f t="shared" si="4"/>
        <v>33333.3333333333</v>
      </c>
    </row>
    <row r="95" spans="1:6">
      <c r="A95" s="1">
        <v>120</v>
      </c>
      <c r="C95" s="1">
        <v>0.2</v>
      </c>
      <c r="D95" s="4">
        <v>6.15</v>
      </c>
      <c r="E95" s="2">
        <f t="shared" si="5"/>
        <v>32.520325203252</v>
      </c>
      <c r="F95" s="5">
        <f t="shared" si="4"/>
        <v>32520.325203252</v>
      </c>
    </row>
    <row r="96" spans="1:6">
      <c r="A96" s="1">
        <v>120</v>
      </c>
      <c r="C96" s="1">
        <v>0.2</v>
      </c>
      <c r="D96" s="4">
        <v>6.4</v>
      </c>
      <c r="E96" s="2">
        <f t="shared" si="5"/>
        <v>31.25</v>
      </c>
      <c r="F96" s="5">
        <f t="shared" si="4"/>
        <v>31250</v>
      </c>
    </row>
    <row r="97" spans="1:6">
      <c r="A97" s="1">
        <v>120</v>
      </c>
      <c r="C97" s="1">
        <v>0.2</v>
      </c>
      <c r="D97" s="4">
        <v>6.48</v>
      </c>
      <c r="E97" s="2">
        <f t="shared" si="5"/>
        <v>30.8641975308642</v>
      </c>
      <c r="F97" s="5">
        <f t="shared" si="4"/>
        <v>30864.1975308642</v>
      </c>
    </row>
    <row r="98" spans="1:6">
      <c r="A98" s="1">
        <v>120</v>
      </c>
      <c r="C98" s="1">
        <v>0.2</v>
      </c>
      <c r="D98" s="4">
        <v>6.38</v>
      </c>
      <c r="E98" s="2">
        <f t="shared" si="5"/>
        <v>31.3479623824451</v>
      </c>
      <c r="F98" s="5">
        <f t="shared" si="4"/>
        <v>31347.9623824451</v>
      </c>
    </row>
    <row r="99" spans="1:6">
      <c r="A99" s="1">
        <v>110</v>
      </c>
      <c r="C99" s="1">
        <v>0.2</v>
      </c>
      <c r="D99" s="4">
        <v>5.22</v>
      </c>
      <c r="E99" s="2">
        <f t="shared" si="5"/>
        <v>38.3141762452107</v>
      </c>
      <c r="F99" s="5">
        <f t="shared" si="4"/>
        <v>38314.1762452107</v>
      </c>
    </row>
    <row r="100" spans="1:6">
      <c r="A100" s="1">
        <v>110</v>
      </c>
      <c r="C100" s="1">
        <v>0.2</v>
      </c>
      <c r="D100" s="4">
        <v>4.6</v>
      </c>
      <c r="E100" s="2">
        <f t="shared" si="5"/>
        <v>43.4782608695652</v>
      </c>
      <c r="F100" s="5">
        <f t="shared" si="4"/>
        <v>43478.2608695652</v>
      </c>
    </row>
    <row r="101" spans="1:6">
      <c r="A101" s="1">
        <v>110</v>
      </c>
      <c r="C101" s="1">
        <v>0.2</v>
      </c>
      <c r="D101" s="4">
        <v>5.03</v>
      </c>
      <c r="E101" s="2">
        <f t="shared" si="5"/>
        <v>39.7614314115308</v>
      </c>
      <c r="F101" s="5">
        <f t="shared" si="4"/>
        <v>39761.4314115308</v>
      </c>
    </row>
    <row r="102" spans="1:6">
      <c r="A102" s="1">
        <v>110</v>
      </c>
      <c r="C102" s="1">
        <v>0.2</v>
      </c>
      <c r="D102" s="4">
        <v>5.17</v>
      </c>
      <c r="E102" s="2">
        <f t="shared" si="5"/>
        <v>38.6847195357834</v>
      </c>
      <c r="F102" s="5">
        <f t="shared" si="4"/>
        <v>38684.7195357834</v>
      </c>
    </row>
    <row r="103" spans="1:6">
      <c r="A103" s="1">
        <v>110</v>
      </c>
      <c r="C103" s="1">
        <v>0.2</v>
      </c>
      <c r="D103" s="4">
        <v>5.01</v>
      </c>
      <c r="E103" s="2">
        <f t="shared" si="5"/>
        <v>39.9201596806387</v>
      </c>
      <c r="F103" s="5">
        <f t="shared" si="4"/>
        <v>39920.1596806387</v>
      </c>
    </row>
    <row r="104" spans="1:6">
      <c r="A104" s="1">
        <v>100</v>
      </c>
      <c r="C104" s="1">
        <v>0.2</v>
      </c>
      <c r="D104" s="4">
        <v>4.4</v>
      </c>
      <c r="E104" s="2">
        <f t="shared" si="5"/>
        <v>45.4545454545455</v>
      </c>
      <c r="F104" s="5">
        <f t="shared" si="4"/>
        <v>45454.5454545455</v>
      </c>
    </row>
    <row r="105" spans="1:6">
      <c r="A105" s="1">
        <v>100</v>
      </c>
      <c r="C105" s="1">
        <v>0.2</v>
      </c>
      <c r="D105" s="4">
        <v>4.16</v>
      </c>
      <c r="E105" s="2">
        <f t="shared" si="5"/>
        <v>48.0769230769231</v>
      </c>
      <c r="F105" s="5">
        <f t="shared" si="4"/>
        <v>48076.9230769231</v>
      </c>
    </row>
    <row r="106" spans="1:6">
      <c r="A106" s="1">
        <v>100</v>
      </c>
      <c r="C106" s="1">
        <v>0.2</v>
      </c>
      <c r="D106" s="4">
        <v>4.29</v>
      </c>
      <c r="E106" s="2">
        <f t="shared" si="5"/>
        <v>46.6200466200466</v>
      </c>
      <c r="F106" s="5">
        <f t="shared" si="4"/>
        <v>46620.0466200466</v>
      </c>
    </row>
    <row r="107" spans="1:6">
      <c r="A107" s="1">
        <v>100</v>
      </c>
      <c r="C107" s="1">
        <v>0.2</v>
      </c>
      <c r="D107" s="4">
        <v>4.43</v>
      </c>
      <c r="E107" s="2">
        <f t="shared" si="5"/>
        <v>45.1467268623025</v>
      </c>
      <c r="F107" s="5">
        <f t="shared" si="4"/>
        <v>45146.7268623025</v>
      </c>
    </row>
    <row r="108" spans="1:6">
      <c r="A108" s="1">
        <v>100</v>
      </c>
      <c r="C108" s="1">
        <v>0.2</v>
      </c>
      <c r="D108" s="4">
        <v>4.12</v>
      </c>
      <c r="E108" s="2">
        <f t="shared" si="5"/>
        <v>48.5436893203884</v>
      </c>
      <c r="F108" s="5">
        <f t="shared" si="4"/>
        <v>48543.6893203884</v>
      </c>
    </row>
    <row r="109" spans="1:6">
      <c r="D109" s="4"/>
      <c r="F109" s="5"/>
    </row>
    <row r="110" spans="1:6">
      <c r="D110" s="4"/>
      <c r="F110" s="5"/>
    </row>
    <row r="111" spans="1:6">
      <c r="D111" s="4"/>
    </row>
    <row r="112" spans="1:6">
      <c r="D112" s="4"/>
    </row>
    <row r="113" spans="4:6">
      <c r="D113" s="4"/>
    </row>
    <row r="114" spans="4:6">
      <c r="D114" s="4"/>
      <c r="F114" s="5"/>
    </row>
    <row r="115" spans="4:6">
      <c r="D115" s="4"/>
      <c r="F115" s="5"/>
    </row>
    <row r="116" spans="4:6">
      <c r="D116" s="4"/>
      <c r="F116" s="5"/>
    </row>
    <row r="117" spans="4:6">
      <c r="D117" s="4"/>
      <c r="F117" s="5"/>
    </row>
    <row r="118" spans="4:6">
      <c r="D118" s="4"/>
      <c r="F118" s="5"/>
    </row>
    <row r="119" spans="4:6">
      <c r="D119" s="4"/>
      <c r="F119" s="5"/>
    </row>
    <row r="120" spans="4:6">
      <c r="D120" s="4"/>
      <c r="F120" s="5"/>
    </row>
    <row r="121" spans="4:6">
      <c r="D121" s="4"/>
      <c r="F121" s="5"/>
    </row>
    <row r="122" spans="4:6">
      <c r="D122" s="4"/>
      <c r="F122" s="5"/>
    </row>
    <row r="123" spans="4:6">
      <c r="D123" s="4"/>
      <c r="F123" s="5"/>
    </row>
    <row r="124" spans="4:6">
      <c r="D124" s="4"/>
      <c r="F124" s="5"/>
    </row>
    <row r="125" spans="4:6">
      <c r="D125" s="4"/>
      <c r="F125" s="5"/>
    </row>
    <row r="126" spans="4:6">
      <c r="D126" s="4"/>
      <c r="F126" s="5"/>
    </row>
    <row r="127" spans="4:6">
      <c r="D127" s="4"/>
      <c r="F127" s="5"/>
    </row>
    <row r="128" spans="4:6">
      <c r="F128" s="5"/>
    </row>
    <row r="129" spans="4:42">
      <c r="D129" s="4"/>
      <c r="F129" s="5"/>
    </row>
    <row r="130" spans="4:42">
      <c r="D130" s="4"/>
    </row>
    <row r="131" spans="4:42">
      <c r="D131" s="4"/>
    </row>
    <row r="132" spans="4:42">
      <c r="D132" s="4"/>
    </row>
    <row r="133" spans="4:42">
      <c r="D133" s="4"/>
      <c r="F133" s="5"/>
    </row>
    <row r="134" spans="4:42">
      <c r="D134" s="4"/>
      <c r="F134" s="5"/>
    </row>
    <row r="135" spans="4:42">
      <c r="D135" s="4"/>
      <c r="F135" s="5"/>
    </row>
    <row r="136" spans="4:42">
      <c r="D136" s="4"/>
      <c r="F136" s="5"/>
    </row>
    <row r="137" spans="4:42">
      <c r="D137" s="4"/>
      <c r="F137" s="5"/>
    </row>
    <row r="138" spans="4:42">
      <c r="D138" s="4"/>
      <c r="F138" s="5"/>
    </row>
    <row r="139" spans="4:42">
      <c r="D139" s="4"/>
      <c r="F139" s="5"/>
    </row>
    <row r="140" spans="4:42">
      <c r="D140" s="4"/>
      <c r="F140" s="5"/>
      <c r="U140" s="3"/>
      <c r="AB140" s="3"/>
      <c r="AI140" s="3"/>
      <c r="AP140" s="3"/>
    </row>
    <row r="141" spans="4:42">
      <c r="D141" s="4"/>
      <c r="F141" s="5"/>
    </row>
    <row r="142" spans="4:42">
      <c r="D142" s="4"/>
      <c r="F142" s="5"/>
    </row>
    <row r="143" spans="4:42">
      <c r="F143" s="5"/>
    </row>
    <row r="144" spans="4:42">
      <c r="D144" s="4"/>
      <c r="F144" s="5"/>
    </row>
    <row r="145" spans="4:35">
      <c r="D145" s="4"/>
      <c r="F145" s="5"/>
    </row>
    <row r="146" spans="4:35">
      <c r="D146" s="4"/>
      <c r="F146" s="5"/>
      <c r="U146" s="3"/>
      <c r="AB146" s="3"/>
      <c r="AI146" s="3"/>
    </row>
    <row r="147" spans="4:35">
      <c r="D147" s="4"/>
      <c r="F147" s="5"/>
      <c r="R147" s="8"/>
    </row>
    <row r="148" spans="4:35">
      <c r="D148" s="4"/>
      <c r="F148" s="5"/>
    </row>
    <row r="149" spans="4:35">
      <c r="D149" s="4"/>
    </row>
    <row r="150" spans="4:35">
      <c r="D150" s="4"/>
    </row>
    <row r="151" spans="4:35">
      <c r="D151" s="4"/>
    </row>
    <row r="152" spans="4:35">
      <c r="D152" s="4"/>
    </row>
    <row r="153" spans="4:35">
      <c r="D153" s="4"/>
    </row>
    <row r="154" spans="4:35">
      <c r="D154" s="4"/>
    </row>
    <row r="155" spans="4:35">
      <c r="D155" s="4"/>
    </row>
    <row r="156" spans="4:35">
      <c r="D156" s="4"/>
    </row>
    <row r="157" spans="4:35">
      <c r="D157" s="4"/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57"/>
  <sheetViews>
    <sheetView workbookViewId="0">
      <selection activeCell="F1" sqref="F$1:F$1048576"/>
    </sheetView>
  </sheetViews>
  <sheetFormatPr defaultColWidth="8.54464285714286" defaultRowHeight="16.8"/>
  <cols>
    <col min="1" max="1" width="20.1428571428571" style="1" customWidth="1"/>
    <col min="3" max="3" width="10.8482142857143" style="1" customWidth="1"/>
    <col min="4" max="4" width="11" style="1" customWidth="1"/>
    <col min="5" max="5" width="16.8392857142857" style="2" customWidth="1"/>
    <col min="6" max="6" width="18.1428571428571" style="1" customWidth="1"/>
    <col min="9" max="9" width="16.4285714285714" style="1" customWidth="1"/>
    <col min="11" max="11" width="10.1428571428571" style="1" customWidth="1"/>
    <col min="17" max="17" width="9.14285714285714" style="1" customWidth="1"/>
    <col min="16379" max="16384" width="11.5267857142857" style="1" customWidth="1"/>
  </cols>
  <sheetData>
    <row r="1" spans="1:14">
      <c r="A1" s="3" t="s">
        <v>0</v>
      </c>
      <c r="C1" s="1" t="s">
        <v>1</v>
      </c>
      <c r="D1" s="1" t="s">
        <v>2</v>
      </c>
      <c r="E1" s="2" t="s">
        <v>3</v>
      </c>
    </row>
    <row r="2" spans="1:14">
      <c r="A2" s="1" t="s">
        <v>4</v>
      </c>
      <c r="C2" s="1">
        <v>0.001</v>
      </c>
      <c r="D2" s="4">
        <v>105</v>
      </c>
      <c r="E2" s="2">
        <f>C2/(D2*0.000001)/1000</f>
        <v>0.00952380952380952</v>
      </c>
      <c r="F2" s="5">
        <f>E2*1000</f>
        <v>9.52380952380953</v>
      </c>
    </row>
    <row r="3" spans="1:14">
      <c r="A3" s="1" t="s">
        <v>5</v>
      </c>
      <c r="C3" s="1">
        <v>0.1</v>
      </c>
      <c r="D3" s="4">
        <v>0.011</v>
      </c>
      <c r="E3" s="2">
        <f>C3/(D3*0.000001)/1000</f>
        <v>9090.90909090909</v>
      </c>
      <c r="F3" s="5">
        <f>E3*1000</f>
        <v>9090909.09090909</v>
      </c>
      <c r="G3" s="1"/>
    </row>
    <row r="4" spans="1:14">
      <c r="D4" s="4"/>
      <c r="F4" s="5">
        <f>E4*1000</f>
        <v>0</v>
      </c>
    </row>
    <row r="5" spans="1:14">
      <c r="D5" s="4"/>
      <c r="E5" s="6"/>
      <c r="F5" s="5">
        <f>E5*1000</f>
        <v>0</v>
      </c>
    </row>
    <row r="6" spans="1:14">
      <c r="A6" s="1">
        <v>290</v>
      </c>
      <c r="C6" s="1">
        <v>0.2</v>
      </c>
      <c r="D6" s="4">
        <v>26.66</v>
      </c>
      <c r="E6" s="2">
        <f t="shared" ref="E6:E30" si="0">C6/(D6*0.000001)/1000</f>
        <v>7.50187546886722</v>
      </c>
      <c r="F6" s="5">
        <f>E6*1000</f>
        <v>7501.87546886722</v>
      </c>
      <c r="K6" s="7"/>
      <c r="L6" s="7"/>
      <c r="M6" s="7"/>
      <c r="N6" s="7"/>
    </row>
    <row r="7" spans="1:14">
      <c r="A7" s="1">
        <v>290</v>
      </c>
      <c r="C7" s="1">
        <v>0.2</v>
      </c>
      <c r="D7" s="4">
        <v>27.32</v>
      </c>
      <c r="E7" s="2">
        <f t="shared" si="0"/>
        <v>7.32064421669107</v>
      </c>
      <c r="F7" s="5">
        <f t="shared" ref="F7:F38" si="1">E7*1000</f>
        <v>7320.64421669107</v>
      </c>
    </row>
    <row r="8" spans="1:14">
      <c r="A8" s="1">
        <v>290</v>
      </c>
      <c r="C8" s="1">
        <v>0.2</v>
      </c>
      <c r="D8" s="4">
        <v>26.2</v>
      </c>
      <c r="E8" s="2">
        <f t="shared" si="0"/>
        <v>7.63358778625954</v>
      </c>
      <c r="F8" s="5">
        <f t="shared" si="1"/>
        <v>7633.58778625954</v>
      </c>
    </row>
    <row r="9" spans="1:14">
      <c r="A9" s="1">
        <v>290</v>
      </c>
      <c r="C9" s="1">
        <v>0.2</v>
      </c>
      <c r="D9" s="4">
        <v>29.7</v>
      </c>
      <c r="E9" s="2">
        <f t="shared" si="0"/>
        <v>6.73400673400674</v>
      </c>
      <c r="F9" s="5">
        <f t="shared" si="1"/>
        <v>6734.00673400674</v>
      </c>
    </row>
    <row r="10" spans="1:14">
      <c r="A10" s="1">
        <v>290</v>
      </c>
      <c r="C10" s="1">
        <v>0.2</v>
      </c>
      <c r="D10" s="4">
        <v>28.6</v>
      </c>
      <c r="E10" s="2">
        <f t="shared" si="0"/>
        <v>6.99300699300699</v>
      </c>
      <c r="F10" s="5">
        <f t="shared" si="1"/>
        <v>6993.00699300699</v>
      </c>
    </row>
    <row r="11" spans="1:14">
      <c r="A11" s="1">
        <v>280</v>
      </c>
      <c r="C11" s="1">
        <v>0.2</v>
      </c>
      <c r="D11" s="4">
        <v>29.4</v>
      </c>
      <c r="E11" s="2">
        <f t="shared" si="0"/>
        <v>6.80272108843538</v>
      </c>
      <c r="F11" s="5">
        <f t="shared" si="1"/>
        <v>6802.72108843538</v>
      </c>
    </row>
    <row r="12" spans="1:14">
      <c r="A12" s="1">
        <v>280</v>
      </c>
      <c r="C12" s="1">
        <v>0.2</v>
      </c>
      <c r="D12" s="4">
        <v>33</v>
      </c>
      <c r="E12" s="2">
        <f t="shared" si="0"/>
        <v>6.06060606060606</v>
      </c>
      <c r="F12" s="5">
        <f t="shared" si="1"/>
        <v>6060.60606060606</v>
      </c>
    </row>
    <row r="13" spans="1:14">
      <c r="A13" s="1">
        <v>280</v>
      </c>
      <c r="C13" s="1">
        <v>0.2</v>
      </c>
      <c r="D13" s="4">
        <v>33.27</v>
      </c>
      <c r="E13" s="2">
        <f t="shared" si="0"/>
        <v>6.01142170123234</v>
      </c>
      <c r="F13" s="5">
        <f t="shared" si="1"/>
        <v>6011.42170123234</v>
      </c>
    </row>
    <row r="14" spans="1:14">
      <c r="A14" s="1">
        <v>280</v>
      </c>
      <c r="C14" s="1">
        <v>0.2</v>
      </c>
      <c r="D14" s="4">
        <v>31.7</v>
      </c>
      <c r="E14" s="2">
        <f t="shared" si="0"/>
        <v>6.30914826498423</v>
      </c>
      <c r="F14" s="5">
        <f t="shared" si="1"/>
        <v>6309.14826498423</v>
      </c>
    </row>
    <row r="15" spans="1:14">
      <c r="A15" s="1">
        <v>280</v>
      </c>
      <c r="C15" s="1">
        <v>0.2</v>
      </c>
      <c r="D15" s="4">
        <v>31.9</v>
      </c>
      <c r="E15" s="2">
        <f t="shared" si="0"/>
        <v>6.26959247648903</v>
      </c>
      <c r="F15" s="5">
        <f t="shared" si="1"/>
        <v>6269.59247648903</v>
      </c>
    </row>
    <row r="16" spans="1:14">
      <c r="A16" s="1">
        <v>270</v>
      </c>
      <c r="C16" s="1">
        <v>0.2</v>
      </c>
      <c r="D16" s="4">
        <v>29.4</v>
      </c>
      <c r="E16" s="2">
        <f t="shared" si="0"/>
        <v>6.80272108843538</v>
      </c>
      <c r="F16" s="5">
        <f t="shared" si="1"/>
        <v>6802.72108843538</v>
      </c>
    </row>
    <row r="17" spans="1:6">
      <c r="A17" s="1">
        <v>270</v>
      </c>
      <c r="C17" s="1">
        <v>0.2</v>
      </c>
      <c r="D17" s="4">
        <v>26.83</v>
      </c>
      <c r="E17" s="2">
        <f t="shared" si="0"/>
        <v>7.45434215430488</v>
      </c>
      <c r="F17" s="5">
        <f t="shared" si="1"/>
        <v>7454.34215430488</v>
      </c>
    </row>
    <row r="18" spans="1:6">
      <c r="A18" s="1">
        <v>270</v>
      </c>
      <c r="C18" s="1">
        <v>0.2</v>
      </c>
      <c r="D18" s="4">
        <v>27.36</v>
      </c>
      <c r="E18" s="2">
        <f t="shared" si="0"/>
        <v>7.30994152046784</v>
      </c>
      <c r="F18" s="5">
        <f t="shared" si="1"/>
        <v>7309.94152046784</v>
      </c>
    </row>
    <row r="19" spans="1:6">
      <c r="A19" s="1">
        <v>270</v>
      </c>
      <c r="C19" s="1">
        <v>0.2</v>
      </c>
      <c r="D19" s="4">
        <v>29.1</v>
      </c>
      <c r="E19" s="2">
        <f t="shared" si="0"/>
        <v>6.87285223367698</v>
      </c>
      <c r="F19" s="5">
        <f t="shared" si="1"/>
        <v>6872.85223367698</v>
      </c>
    </row>
    <row r="20" spans="1:6">
      <c r="A20" s="1">
        <v>270</v>
      </c>
      <c r="C20" s="1">
        <v>0.2</v>
      </c>
      <c r="D20" s="4">
        <v>28.2</v>
      </c>
      <c r="E20" s="2">
        <f t="shared" si="0"/>
        <v>7.09219858156029</v>
      </c>
      <c r="F20" s="5">
        <f t="shared" si="1"/>
        <v>7092.19858156028</v>
      </c>
    </row>
    <row r="21" spans="1:6">
      <c r="A21" s="1">
        <v>260</v>
      </c>
      <c r="C21" s="1">
        <v>0.2</v>
      </c>
      <c r="D21" s="4">
        <v>27.14</v>
      </c>
      <c r="E21" s="2">
        <f t="shared" si="0"/>
        <v>7.36919675755343</v>
      </c>
      <c r="F21" s="5">
        <f t="shared" si="1"/>
        <v>7369.19675755343</v>
      </c>
    </row>
    <row r="22" spans="1:6">
      <c r="A22" s="1">
        <v>260</v>
      </c>
      <c r="C22" s="1">
        <v>0.2</v>
      </c>
      <c r="D22" s="4">
        <v>26.72</v>
      </c>
      <c r="E22" s="2">
        <f t="shared" si="0"/>
        <v>7.48502994011976</v>
      </c>
      <c r="F22" s="5">
        <f t="shared" si="1"/>
        <v>7485.02994011976</v>
      </c>
    </row>
    <row r="23" spans="1:6">
      <c r="A23" s="1">
        <v>260</v>
      </c>
      <c r="C23" s="1">
        <v>0.2</v>
      </c>
      <c r="D23" s="4">
        <v>29.06</v>
      </c>
      <c r="E23" s="2">
        <f t="shared" si="0"/>
        <v>6.88231245698555</v>
      </c>
      <c r="F23" s="5">
        <f t="shared" si="1"/>
        <v>6882.31245698555</v>
      </c>
    </row>
    <row r="24" spans="1:6">
      <c r="A24" s="1">
        <v>260</v>
      </c>
      <c r="C24" s="1">
        <v>0.2</v>
      </c>
      <c r="D24" s="4">
        <v>27.88</v>
      </c>
      <c r="E24" s="2">
        <f t="shared" si="0"/>
        <v>7.17360114777618</v>
      </c>
      <c r="F24" s="5">
        <f t="shared" si="1"/>
        <v>7173.60114777618</v>
      </c>
    </row>
    <row r="25" spans="1:6">
      <c r="A25" s="1">
        <v>260</v>
      </c>
      <c r="C25" s="1">
        <v>0.2</v>
      </c>
      <c r="D25" s="4">
        <v>26.7</v>
      </c>
      <c r="E25" s="2">
        <f t="shared" si="0"/>
        <v>7.49063670411985</v>
      </c>
      <c r="F25" s="5">
        <f t="shared" si="1"/>
        <v>7490.63670411985</v>
      </c>
    </row>
    <row r="26" spans="1:6">
      <c r="A26" s="1">
        <v>250</v>
      </c>
      <c r="C26" s="1">
        <v>0.2</v>
      </c>
      <c r="D26" s="4">
        <v>23.73</v>
      </c>
      <c r="E26" s="2">
        <f t="shared" si="0"/>
        <v>8.42815002107038</v>
      </c>
      <c r="F26" s="5">
        <f t="shared" si="1"/>
        <v>8428.15002107038</v>
      </c>
    </row>
    <row r="27" spans="1:6">
      <c r="A27" s="1">
        <v>250</v>
      </c>
      <c r="C27" s="1">
        <v>0.2</v>
      </c>
      <c r="D27" s="4">
        <v>22.62</v>
      </c>
      <c r="E27" s="2">
        <f t="shared" si="0"/>
        <v>8.84173297966401</v>
      </c>
      <c r="F27" s="5">
        <f t="shared" si="1"/>
        <v>8841.73297966402</v>
      </c>
    </row>
    <row r="28" spans="1:6">
      <c r="A28" s="1">
        <v>250</v>
      </c>
      <c r="C28" s="1">
        <v>0.2</v>
      </c>
      <c r="D28" s="4">
        <v>23.9</v>
      </c>
      <c r="E28" s="2">
        <f t="shared" si="0"/>
        <v>8.36820083682008</v>
      </c>
      <c r="F28" s="5">
        <f t="shared" si="1"/>
        <v>8368.20083682008</v>
      </c>
    </row>
    <row r="29" spans="1:6">
      <c r="A29" s="1">
        <v>250</v>
      </c>
      <c r="C29" s="1">
        <v>0.2</v>
      </c>
      <c r="D29" s="4">
        <v>24.46</v>
      </c>
      <c r="E29" s="2">
        <f t="shared" si="0"/>
        <v>8.17661488143908</v>
      </c>
      <c r="F29" s="5">
        <f t="shared" si="1"/>
        <v>8176.61488143908</v>
      </c>
    </row>
    <row r="30" spans="1:6">
      <c r="A30" s="1">
        <v>250</v>
      </c>
      <c r="C30" s="1">
        <v>0.2</v>
      </c>
      <c r="D30" s="4">
        <v>26.3</v>
      </c>
      <c r="E30" s="2">
        <f t="shared" si="0"/>
        <v>7.60456273764259</v>
      </c>
      <c r="F30" s="5">
        <f t="shared" si="1"/>
        <v>7604.56273764259</v>
      </c>
    </row>
    <row r="31" spans="1:6">
      <c r="E31" s="1"/>
      <c r="F31" s="5">
        <f t="shared" si="1"/>
        <v>0</v>
      </c>
    </row>
    <row r="32" spans="1:6">
      <c r="A32" s="1">
        <v>240</v>
      </c>
      <c r="C32" s="1">
        <v>0.2</v>
      </c>
      <c r="D32" s="4">
        <v>23.08</v>
      </c>
      <c r="E32" s="2">
        <f t="shared" ref="E32:E56" si="2">C32/(D32*0.000001)/1000</f>
        <v>8.66551126516465</v>
      </c>
      <c r="F32" s="5">
        <f t="shared" si="1"/>
        <v>8665.51126516465</v>
      </c>
    </row>
    <row r="33" spans="1:6">
      <c r="A33" s="1">
        <v>240</v>
      </c>
      <c r="C33" s="1">
        <v>0.2</v>
      </c>
      <c r="D33" s="4">
        <v>21.25</v>
      </c>
      <c r="E33" s="2">
        <f t="shared" si="2"/>
        <v>9.41176470588236</v>
      </c>
      <c r="F33" s="5">
        <f t="shared" si="1"/>
        <v>9411.76470588235</v>
      </c>
    </row>
    <row r="34" spans="1:6">
      <c r="A34" s="1">
        <v>240</v>
      </c>
      <c r="C34" s="1">
        <v>0.2</v>
      </c>
      <c r="D34" s="4">
        <v>22.87</v>
      </c>
      <c r="E34" s="2">
        <f t="shared" si="2"/>
        <v>8.74508089199825</v>
      </c>
      <c r="F34" s="5">
        <f t="shared" si="1"/>
        <v>8745.08089199825</v>
      </c>
    </row>
    <row r="35" spans="1:6">
      <c r="A35" s="1">
        <v>240</v>
      </c>
      <c r="C35" s="1">
        <v>0.2</v>
      </c>
      <c r="D35" s="4">
        <v>23.17</v>
      </c>
      <c r="E35" s="2">
        <f t="shared" si="2"/>
        <v>8.63185153215365</v>
      </c>
      <c r="F35" s="5">
        <f t="shared" si="1"/>
        <v>8631.85153215365</v>
      </c>
    </row>
    <row r="36" spans="1:6">
      <c r="A36" s="1">
        <v>240</v>
      </c>
      <c r="C36" s="1">
        <v>0.2</v>
      </c>
      <c r="D36" s="4">
        <v>19.72</v>
      </c>
      <c r="E36" s="2">
        <f t="shared" si="2"/>
        <v>10.1419878296146</v>
      </c>
      <c r="F36" s="5">
        <f t="shared" si="1"/>
        <v>10141.9878296146</v>
      </c>
    </row>
    <row r="37" spans="1:6">
      <c r="A37" s="1">
        <v>230</v>
      </c>
      <c r="C37" s="1">
        <v>0.2</v>
      </c>
      <c r="D37" s="4">
        <v>13.81</v>
      </c>
      <c r="E37" s="2">
        <f t="shared" si="2"/>
        <v>14.4822592324403</v>
      </c>
      <c r="F37" s="5">
        <f t="shared" si="1"/>
        <v>14482.2592324403</v>
      </c>
    </row>
    <row r="38" spans="1:6">
      <c r="A38" s="1">
        <v>230</v>
      </c>
      <c r="C38" s="1">
        <v>0.2</v>
      </c>
      <c r="D38" s="4">
        <v>18.57</v>
      </c>
      <c r="E38" s="2">
        <f t="shared" si="2"/>
        <v>10.7700592353258</v>
      </c>
      <c r="F38" s="5">
        <f t="shared" si="1"/>
        <v>10770.0592353258</v>
      </c>
    </row>
    <row r="39" spans="1:6">
      <c r="A39" s="1">
        <v>230</v>
      </c>
      <c r="C39" s="1">
        <v>0.2</v>
      </c>
      <c r="D39" s="4">
        <v>16.45</v>
      </c>
      <c r="E39" s="2">
        <f t="shared" si="2"/>
        <v>12.1580547112462</v>
      </c>
      <c r="F39" s="5">
        <f t="shared" ref="F39:F70" si="3">E39*1000</f>
        <v>12158.0547112462</v>
      </c>
    </row>
    <row r="40" spans="1:6">
      <c r="A40" s="1">
        <v>230</v>
      </c>
      <c r="C40" s="1">
        <v>0.2</v>
      </c>
      <c r="D40" s="4">
        <v>17.26</v>
      </c>
      <c r="E40" s="2">
        <f t="shared" si="2"/>
        <v>11.5874855156431</v>
      </c>
      <c r="F40" s="5">
        <f t="shared" si="3"/>
        <v>11587.4855156431</v>
      </c>
    </row>
    <row r="41" spans="1:6">
      <c r="A41" s="1">
        <v>230</v>
      </c>
      <c r="C41" s="1">
        <v>0.2</v>
      </c>
      <c r="D41" s="4">
        <v>18.19</v>
      </c>
      <c r="E41" s="2">
        <f t="shared" si="2"/>
        <v>10.9950522264981</v>
      </c>
      <c r="F41" s="5">
        <f t="shared" si="3"/>
        <v>10995.0522264981</v>
      </c>
    </row>
    <row r="42" spans="1:6">
      <c r="A42" s="1">
        <v>220</v>
      </c>
      <c r="C42" s="1">
        <v>0.2</v>
      </c>
      <c r="D42" s="4">
        <v>15.85</v>
      </c>
      <c r="E42" s="2">
        <f t="shared" si="2"/>
        <v>12.6182965299685</v>
      </c>
      <c r="F42" s="5">
        <f t="shared" si="3"/>
        <v>12618.2965299685</v>
      </c>
    </row>
    <row r="43" spans="1:6">
      <c r="A43" s="1">
        <v>220</v>
      </c>
      <c r="C43" s="1">
        <v>0.2</v>
      </c>
      <c r="D43" s="4">
        <v>15.7</v>
      </c>
      <c r="E43" s="2">
        <f t="shared" si="2"/>
        <v>12.7388535031847</v>
      </c>
      <c r="F43" s="5">
        <f t="shared" si="3"/>
        <v>12738.8535031847</v>
      </c>
    </row>
    <row r="44" spans="1:6">
      <c r="A44" s="1">
        <v>220</v>
      </c>
      <c r="C44" s="1">
        <v>0.2</v>
      </c>
      <c r="D44" s="4">
        <v>17.2</v>
      </c>
      <c r="E44" s="2">
        <f t="shared" si="2"/>
        <v>11.6279069767442</v>
      </c>
      <c r="F44" s="5">
        <f t="shared" si="3"/>
        <v>11627.9069767442</v>
      </c>
    </row>
    <row r="45" spans="1:6">
      <c r="A45" s="1">
        <v>220</v>
      </c>
      <c r="C45" s="1">
        <v>0.2</v>
      </c>
      <c r="D45" s="4">
        <v>16</v>
      </c>
      <c r="E45" s="2">
        <f t="shared" si="2"/>
        <v>12.5</v>
      </c>
      <c r="F45" s="5">
        <f t="shared" si="3"/>
        <v>12500</v>
      </c>
    </row>
    <row r="46" spans="1:6">
      <c r="A46" s="1">
        <v>220</v>
      </c>
      <c r="C46" s="1">
        <v>0.2</v>
      </c>
      <c r="D46" s="4">
        <v>16.9</v>
      </c>
      <c r="E46" s="2">
        <f t="shared" si="2"/>
        <v>11.8343195266272</v>
      </c>
      <c r="F46" s="5">
        <f t="shared" si="3"/>
        <v>11834.3195266272</v>
      </c>
    </row>
    <row r="47" spans="1:6">
      <c r="A47" s="1">
        <v>210</v>
      </c>
      <c r="C47" s="1">
        <v>0.2</v>
      </c>
      <c r="D47" s="4">
        <v>14</v>
      </c>
      <c r="E47" s="2">
        <f t="shared" si="2"/>
        <v>14.2857142857143</v>
      </c>
      <c r="F47" s="5">
        <f t="shared" si="3"/>
        <v>14285.7142857143</v>
      </c>
    </row>
    <row r="48" spans="1:6">
      <c r="A48" s="1">
        <v>210</v>
      </c>
      <c r="C48" s="1">
        <v>0.2</v>
      </c>
      <c r="D48" s="4">
        <v>11.1</v>
      </c>
      <c r="E48" s="2">
        <f t="shared" si="2"/>
        <v>18.018018018018</v>
      </c>
      <c r="F48" s="5">
        <f t="shared" si="3"/>
        <v>18018.018018018</v>
      </c>
    </row>
    <row r="49" spans="1:6">
      <c r="A49" s="1">
        <v>210</v>
      </c>
      <c r="C49" s="1">
        <v>0.2</v>
      </c>
      <c r="D49" s="4">
        <v>93.6</v>
      </c>
      <c r="E49" s="2">
        <f t="shared" si="2"/>
        <v>2.13675213675214</v>
      </c>
      <c r="F49" s="5">
        <f t="shared" si="3"/>
        <v>2136.75213675214</v>
      </c>
    </row>
    <row r="50" spans="1:6">
      <c r="A50" s="1">
        <v>210</v>
      </c>
      <c r="C50" s="1">
        <v>0.2</v>
      </c>
      <c r="D50" s="4">
        <v>11.9</v>
      </c>
      <c r="E50" s="2">
        <f t="shared" si="2"/>
        <v>16.8067226890756</v>
      </c>
      <c r="F50" s="5">
        <f t="shared" si="3"/>
        <v>16806.7226890756</v>
      </c>
    </row>
    <row r="51" spans="1:6">
      <c r="A51" s="1">
        <v>210</v>
      </c>
      <c r="C51" s="1">
        <v>0.2</v>
      </c>
      <c r="D51" s="4">
        <v>14.83</v>
      </c>
      <c r="E51" s="2">
        <f t="shared" si="2"/>
        <v>13.4861766689144</v>
      </c>
      <c r="F51" s="5">
        <f t="shared" si="3"/>
        <v>13486.1766689144</v>
      </c>
    </row>
    <row r="52" spans="1:6">
      <c r="A52" s="1">
        <v>200</v>
      </c>
      <c r="C52" s="1">
        <v>0.2</v>
      </c>
      <c r="D52" s="4">
        <v>13</v>
      </c>
      <c r="E52" s="2">
        <f t="shared" si="2"/>
        <v>15.3846153846154</v>
      </c>
      <c r="F52" s="5">
        <f t="shared" si="3"/>
        <v>15384.6153846154</v>
      </c>
    </row>
    <row r="53" spans="1:6">
      <c r="A53" s="1">
        <v>200</v>
      </c>
      <c r="C53" s="1">
        <v>0.2</v>
      </c>
      <c r="D53" s="4">
        <v>13</v>
      </c>
      <c r="E53" s="2">
        <f t="shared" si="2"/>
        <v>15.3846153846154</v>
      </c>
      <c r="F53" s="5">
        <f t="shared" si="3"/>
        <v>15384.6153846154</v>
      </c>
    </row>
    <row r="54" spans="1:6">
      <c r="A54" s="1">
        <v>200</v>
      </c>
      <c r="C54" s="1">
        <v>0.2</v>
      </c>
      <c r="D54" s="4">
        <v>12.4</v>
      </c>
      <c r="E54" s="2">
        <f t="shared" si="2"/>
        <v>16.1290322580645</v>
      </c>
      <c r="F54" s="5">
        <f t="shared" si="3"/>
        <v>16129.0322580645</v>
      </c>
    </row>
    <row r="55" spans="1:6">
      <c r="A55" s="1">
        <v>200</v>
      </c>
      <c r="C55" s="1">
        <v>0.2</v>
      </c>
      <c r="D55" s="4">
        <v>10.47</v>
      </c>
      <c r="E55" s="2">
        <f t="shared" si="2"/>
        <v>19.1021967526266</v>
      </c>
      <c r="F55" s="5">
        <f t="shared" si="3"/>
        <v>19102.1967526266</v>
      </c>
    </row>
    <row r="56" spans="1:6">
      <c r="A56" s="1">
        <v>200</v>
      </c>
      <c r="C56" s="1">
        <v>0.2</v>
      </c>
      <c r="D56" s="4">
        <v>11.85</v>
      </c>
      <c r="E56" s="2">
        <f t="shared" si="2"/>
        <v>16.8776371308017</v>
      </c>
      <c r="F56" s="5">
        <f t="shared" si="3"/>
        <v>16877.6371308017</v>
      </c>
    </row>
    <row r="57" spans="1:6">
      <c r="E57" s="1"/>
      <c r="F57" s="5">
        <f t="shared" si="3"/>
        <v>0</v>
      </c>
    </row>
    <row r="58" spans="1:6">
      <c r="A58" s="1">
        <v>190</v>
      </c>
      <c r="C58" s="1">
        <v>0.5</v>
      </c>
      <c r="D58" s="4">
        <v>27.24</v>
      </c>
      <c r="E58" s="2">
        <f t="shared" ref="E58:E82" si="4">C58/(D58*0.000001)/1000</f>
        <v>18.3553597650514</v>
      </c>
      <c r="F58" s="5">
        <f t="shared" si="3"/>
        <v>18355.3597650514</v>
      </c>
    </row>
    <row r="59" spans="1:6">
      <c r="A59" s="1">
        <v>190</v>
      </c>
      <c r="C59" s="1">
        <v>0.5</v>
      </c>
      <c r="D59" s="4">
        <v>30.6</v>
      </c>
      <c r="E59" s="2">
        <f t="shared" si="4"/>
        <v>16.3398692810458</v>
      </c>
      <c r="F59" s="5">
        <f t="shared" si="3"/>
        <v>16339.8692810458</v>
      </c>
    </row>
    <row r="60" spans="1:6">
      <c r="A60" s="1">
        <v>190</v>
      </c>
      <c r="C60" s="1">
        <v>0.5</v>
      </c>
      <c r="D60" s="4">
        <v>28.72</v>
      </c>
      <c r="E60" s="2">
        <f t="shared" si="4"/>
        <v>17.4094707520891</v>
      </c>
      <c r="F60" s="5">
        <f t="shared" si="3"/>
        <v>17409.4707520891</v>
      </c>
    </row>
    <row r="61" spans="1:6">
      <c r="A61" s="1">
        <v>190</v>
      </c>
      <c r="C61" s="1">
        <v>0.5</v>
      </c>
      <c r="D61" s="4">
        <v>27.4</v>
      </c>
      <c r="E61" s="2">
        <f t="shared" si="4"/>
        <v>18.2481751824818</v>
      </c>
      <c r="F61" s="5">
        <f t="shared" si="3"/>
        <v>18248.1751824818</v>
      </c>
    </row>
    <row r="62" spans="1:6">
      <c r="A62" s="1">
        <v>190</v>
      </c>
      <c r="C62" s="1">
        <v>0.5</v>
      </c>
      <c r="D62" s="4">
        <v>27.8</v>
      </c>
      <c r="E62" s="2">
        <f t="shared" si="4"/>
        <v>17.9856115107914</v>
      </c>
      <c r="F62" s="5">
        <f t="shared" si="3"/>
        <v>17985.6115107914</v>
      </c>
    </row>
    <row r="63" spans="1:6">
      <c r="A63" s="1">
        <v>180</v>
      </c>
      <c r="C63" s="1">
        <v>0.5</v>
      </c>
      <c r="D63" s="4">
        <v>22.6</v>
      </c>
      <c r="E63" s="2">
        <f t="shared" si="4"/>
        <v>22.1238938053097</v>
      </c>
      <c r="F63" s="5">
        <f t="shared" si="3"/>
        <v>22123.8938053097</v>
      </c>
    </row>
    <row r="64" spans="1:6">
      <c r="A64" s="1">
        <v>180</v>
      </c>
      <c r="C64" s="1">
        <v>0.5</v>
      </c>
      <c r="D64" s="4">
        <v>26.7</v>
      </c>
      <c r="E64" s="2">
        <f t="shared" si="4"/>
        <v>18.7265917602996</v>
      </c>
      <c r="F64" s="5">
        <f t="shared" si="3"/>
        <v>18726.5917602996</v>
      </c>
    </row>
    <row r="65" spans="1:6">
      <c r="A65" s="1">
        <v>180</v>
      </c>
      <c r="C65" s="1">
        <v>0.5</v>
      </c>
      <c r="D65" s="4">
        <v>24.8</v>
      </c>
      <c r="E65" s="2">
        <f t="shared" si="4"/>
        <v>20.1612903225806</v>
      </c>
      <c r="F65" s="5">
        <f t="shared" si="3"/>
        <v>20161.2903225806</v>
      </c>
    </row>
    <row r="66" spans="1:6">
      <c r="A66" s="1">
        <v>180</v>
      </c>
      <c r="C66" s="1">
        <v>0.5</v>
      </c>
      <c r="D66" s="4">
        <v>27.7</v>
      </c>
      <c r="E66" s="2">
        <f t="shared" si="4"/>
        <v>18.0505415162455</v>
      </c>
      <c r="F66" s="5">
        <f t="shared" si="3"/>
        <v>18050.5415162455</v>
      </c>
    </row>
    <row r="67" spans="1:6">
      <c r="A67" s="1">
        <v>180</v>
      </c>
      <c r="C67" s="1">
        <v>0.5</v>
      </c>
      <c r="D67" s="4">
        <v>25.61</v>
      </c>
      <c r="E67" s="2">
        <f t="shared" si="4"/>
        <v>19.5236235845373</v>
      </c>
      <c r="F67" s="5">
        <f t="shared" si="3"/>
        <v>19523.6235845373</v>
      </c>
    </row>
    <row r="68" spans="1:6">
      <c r="A68" s="1">
        <v>170</v>
      </c>
      <c r="C68" s="1">
        <v>0.5</v>
      </c>
      <c r="D68" s="4">
        <v>14.3</v>
      </c>
      <c r="E68" s="2">
        <f t="shared" si="4"/>
        <v>34.965034965035</v>
      </c>
      <c r="F68" s="5">
        <f t="shared" si="3"/>
        <v>34965.034965035</v>
      </c>
    </row>
    <row r="69" spans="1:6">
      <c r="A69" s="1">
        <v>170</v>
      </c>
      <c r="C69" s="1">
        <v>0.5</v>
      </c>
      <c r="D69" s="4">
        <v>17.88</v>
      </c>
      <c r="E69" s="2">
        <f t="shared" si="4"/>
        <v>27.9642058165548</v>
      </c>
      <c r="F69" s="5">
        <f t="shared" si="3"/>
        <v>27964.2058165548</v>
      </c>
    </row>
    <row r="70" spans="1:6">
      <c r="A70" s="1">
        <v>170</v>
      </c>
      <c r="C70" s="1">
        <v>0.5</v>
      </c>
      <c r="D70" s="4">
        <v>18.9</v>
      </c>
      <c r="E70" s="2">
        <f t="shared" si="4"/>
        <v>26.4550264550265</v>
      </c>
      <c r="F70" s="5">
        <f t="shared" si="3"/>
        <v>26455.0264550265</v>
      </c>
    </row>
    <row r="71" spans="1:6">
      <c r="A71" s="1">
        <v>170</v>
      </c>
      <c r="C71" s="1">
        <v>0.5</v>
      </c>
      <c r="D71" s="4">
        <v>21.6</v>
      </c>
      <c r="E71" s="2">
        <f t="shared" si="4"/>
        <v>23.1481481481481</v>
      </c>
      <c r="F71" s="5">
        <f t="shared" ref="F71:F102" si="5">E71*1000</f>
        <v>23148.1481481481</v>
      </c>
    </row>
    <row r="72" spans="1:6">
      <c r="A72" s="1">
        <v>170</v>
      </c>
      <c r="C72" s="1">
        <v>0.5</v>
      </c>
      <c r="D72" s="4">
        <v>19.58</v>
      </c>
      <c r="E72" s="2">
        <f t="shared" si="4"/>
        <v>25.5362614913177</v>
      </c>
      <c r="F72" s="5">
        <f t="shared" si="5"/>
        <v>25536.2614913177</v>
      </c>
    </row>
    <row r="73" spans="1:6">
      <c r="A73" s="1">
        <v>160</v>
      </c>
      <c r="C73" s="1">
        <v>0.5</v>
      </c>
      <c r="D73" s="4">
        <v>15.9</v>
      </c>
      <c r="E73" s="2">
        <f t="shared" si="4"/>
        <v>31.4465408805031</v>
      </c>
      <c r="F73" s="5">
        <f t="shared" si="5"/>
        <v>31446.5408805031</v>
      </c>
    </row>
    <row r="74" spans="1:6">
      <c r="A74" s="1">
        <v>160</v>
      </c>
      <c r="C74" s="1">
        <v>0.5</v>
      </c>
      <c r="D74" s="4">
        <v>16.7</v>
      </c>
      <c r="E74" s="2">
        <f t="shared" si="4"/>
        <v>29.940119760479</v>
      </c>
      <c r="F74" s="5">
        <f t="shared" si="5"/>
        <v>29940.119760479</v>
      </c>
    </row>
    <row r="75" spans="1:6">
      <c r="A75" s="1">
        <v>160</v>
      </c>
      <c r="C75" s="1">
        <v>0.5</v>
      </c>
      <c r="D75" s="4">
        <v>15</v>
      </c>
      <c r="E75" s="2">
        <f t="shared" si="4"/>
        <v>33.3333333333333</v>
      </c>
      <c r="F75" s="5">
        <f t="shared" si="5"/>
        <v>33333.3333333333</v>
      </c>
    </row>
    <row r="76" spans="1:6">
      <c r="A76" s="1">
        <v>160</v>
      </c>
      <c r="C76" s="1">
        <v>0.5</v>
      </c>
      <c r="D76" s="4">
        <v>17.35</v>
      </c>
      <c r="E76" s="2">
        <f t="shared" si="4"/>
        <v>28.8184438040346</v>
      </c>
      <c r="F76" s="5">
        <f t="shared" si="5"/>
        <v>28818.4438040346</v>
      </c>
    </row>
    <row r="77" spans="1:6">
      <c r="A77" s="1">
        <v>160</v>
      </c>
      <c r="C77" s="1">
        <v>0.5</v>
      </c>
      <c r="D77" s="4">
        <v>16.79</v>
      </c>
      <c r="E77" s="2">
        <f t="shared" si="4"/>
        <v>29.7796307325789</v>
      </c>
      <c r="F77" s="5">
        <f t="shared" si="5"/>
        <v>29779.6307325789</v>
      </c>
    </row>
    <row r="78" spans="1:6">
      <c r="A78" s="1">
        <v>150</v>
      </c>
      <c r="C78" s="1">
        <v>0.5</v>
      </c>
      <c r="D78" s="4">
        <v>14.3</v>
      </c>
      <c r="E78" s="2">
        <f t="shared" si="4"/>
        <v>34.965034965035</v>
      </c>
      <c r="F78" s="5">
        <f t="shared" si="5"/>
        <v>34965.034965035</v>
      </c>
    </row>
    <row r="79" spans="1:6">
      <c r="A79" s="1">
        <v>150</v>
      </c>
      <c r="C79" s="1">
        <v>0.5</v>
      </c>
      <c r="D79" s="4">
        <v>12.7</v>
      </c>
      <c r="E79" s="2">
        <f t="shared" si="4"/>
        <v>39.3700787401575</v>
      </c>
      <c r="F79" s="5">
        <f t="shared" si="5"/>
        <v>39370.0787401575</v>
      </c>
    </row>
    <row r="80" spans="1:6">
      <c r="A80" s="1">
        <v>150</v>
      </c>
      <c r="C80" s="1">
        <v>0.5</v>
      </c>
      <c r="D80" s="4">
        <v>11.96</v>
      </c>
      <c r="E80" s="2">
        <f t="shared" si="4"/>
        <v>41.8060200668896</v>
      </c>
      <c r="F80" s="5">
        <f t="shared" si="5"/>
        <v>41806.0200668896</v>
      </c>
    </row>
    <row r="81" spans="1:6">
      <c r="A81" s="1">
        <v>150</v>
      </c>
      <c r="C81" s="1">
        <v>0.5</v>
      </c>
      <c r="D81" s="4">
        <v>13.05</v>
      </c>
      <c r="E81" s="2">
        <f t="shared" si="4"/>
        <v>38.3141762452107</v>
      </c>
      <c r="F81" s="5">
        <f t="shared" si="5"/>
        <v>38314.1762452107</v>
      </c>
    </row>
    <row r="82" spans="1:6">
      <c r="A82" s="1">
        <v>150</v>
      </c>
      <c r="C82" s="1">
        <v>0.5</v>
      </c>
      <c r="D82" s="4">
        <v>13.45</v>
      </c>
      <c r="E82" s="2">
        <f t="shared" si="4"/>
        <v>37.1747211895911</v>
      </c>
      <c r="F82" s="5">
        <f t="shared" si="5"/>
        <v>37174.7211895911</v>
      </c>
    </row>
    <row r="83" spans="1:6">
      <c r="E83" s="1"/>
      <c r="F83" s="5">
        <f t="shared" si="5"/>
        <v>0</v>
      </c>
    </row>
    <row r="84" spans="1:6">
      <c r="A84" s="1">
        <v>140</v>
      </c>
      <c r="C84" s="1">
        <v>0.5</v>
      </c>
      <c r="D84" s="4">
        <v>8.55</v>
      </c>
      <c r="E84" s="2">
        <f t="shared" ref="E84:E108" si="6">C84/(D84*0.000001)/1000</f>
        <v>58.4795321637427</v>
      </c>
      <c r="F84" s="5">
        <f t="shared" si="5"/>
        <v>58479.5321637427</v>
      </c>
    </row>
    <row r="85" spans="1:6">
      <c r="A85" s="1">
        <v>140</v>
      </c>
      <c r="C85" s="1">
        <v>0.5</v>
      </c>
      <c r="D85" s="4">
        <v>8.78</v>
      </c>
      <c r="E85" s="2">
        <f t="shared" si="6"/>
        <v>56.9476082004556</v>
      </c>
      <c r="F85" s="5">
        <f t="shared" si="5"/>
        <v>56947.6082004556</v>
      </c>
    </row>
    <row r="86" spans="1:6">
      <c r="A86" s="1">
        <v>140</v>
      </c>
      <c r="C86" s="1">
        <v>0.5</v>
      </c>
      <c r="D86" s="4">
        <v>8.75</v>
      </c>
      <c r="E86" s="2">
        <f t="shared" si="6"/>
        <v>57.1428571428571</v>
      </c>
      <c r="F86" s="5">
        <f t="shared" si="5"/>
        <v>57142.8571428571</v>
      </c>
    </row>
    <row r="87" spans="1:6">
      <c r="A87" s="1">
        <v>140</v>
      </c>
      <c r="C87" s="1">
        <v>0.5</v>
      </c>
      <c r="D87" s="4">
        <v>9.96</v>
      </c>
      <c r="E87" s="2">
        <f t="shared" si="6"/>
        <v>50.2008032128514</v>
      </c>
      <c r="F87" s="5">
        <f t="shared" si="5"/>
        <v>50200.8032128514</v>
      </c>
    </row>
    <row r="88" spans="1:6">
      <c r="A88" s="1">
        <v>140</v>
      </c>
      <c r="C88" s="1">
        <v>0.5</v>
      </c>
      <c r="D88" s="4">
        <v>11.4</v>
      </c>
      <c r="E88" s="2">
        <f t="shared" si="6"/>
        <v>43.859649122807</v>
      </c>
      <c r="F88" s="5">
        <f t="shared" si="5"/>
        <v>43859.649122807</v>
      </c>
    </row>
    <row r="89" spans="1:6">
      <c r="A89" s="1">
        <v>130</v>
      </c>
      <c r="C89" s="1">
        <v>0.5</v>
      </c>
      <c r="D89" s="4">
        <v>7.82</v>
      </c>
      <c r="E89" s="2">
        <f t="shared" si="6"/>
        <v>63.9386189258312</v>
      </c>
      <c r="F89" s="5">
        <f t="shared" si="5"/>
        <v>63938.6189258312</v>
      </c>
    </row>
    <row r="90" spans="1:6">
      <c r="A90" s="1">
        <v>130</v>
      </c>
      <c r="C90" s="1">
        <v>0.5</v>
      </c>
      <c r="D90" s="4">
        <v>9.58</v>
      </c>
      <c r="E90" s="2">
        <f t="shared" si="6"/>
        <v>52.1920668058455</v>
      </c>
      <c r="F90" s="5">
        <f t="shared" si="5"/>
        <v>52192.0668058455</v>
      </c>
    </row>
    <row r="91" spans="1:6">
      <c r="A91" s="1">
        <v>130</v>
      </c>
      <c r="C91" s="1">
        <v>0.5</v>
      </c>
      <c r="D91" s="4">
        <v>8.95</v>
      </c>
      <c r="E91" s="2">
        <f t="shared" si="6"/>
        <v>55.8659217877095</v>
      </c>
      <c r="F91" s="5">
        <f t="shared" si="5"/>
        <v>55865.9217877095</v>
      </c>
    </row>
    <row r="92" spans="1:6">
      <c r="A92" s="1">
        <v>130</v>
      </c>
      <c r="C92" s="1">
        <v>0.5</v>
      </c>
      <c r="D92" s="4">
        <v>7.95</v>
      </c>
      <c r="E92" s="2">
        <f t="shared" si="6"/>
        <v>62.8930817610063</v>
      </c>
      <c r="F92" s="5">
        <f t="shared" si="5"/>
        <v>62893.0817610063</v>
      </c>
    </row>
    <row r="93" spans="1:6">
      <c r="A93" s="1">
        <v>130</v>
      </c>
      <c r="C93" s="1">
        <v>0.5</v>
      </c>
      <c r="D93" s="4">
        <v>8.37</v>
      </c>
      <c r="E93" s="2">
        <f t="shared" si="6"/>
        <v>59.7371565113501</v>
      </c>
      <c r="F93" s="5">
        <f t="shared" si="5"/>
        <v>59737.1565113501</v>
      </c>
    </row>
    <row r="94" spans="1:6">
      <c r="A94" s="1">
        <v>120</v>
      </c>
      <c r="C94" s="1">
        <v>0.5</v>
      </c>
      <c r="D94" s="4">
        <v>7.97</v>
      </c>
      <c r="E94" s="2">
        <f t="shared" si="6"/>
        <v>62.7352572145546</v>
      </c>
      <c r="F94" s="5">
        <f t="shared" si="5"/>
        <v>62735.2572145546</v>
      </c>
    </row>
    <row r="95" spans="1:6">
      <c r="A95" s="1">
        <v>120</v>
      </c>
      <c r="C95" s="1">
        <v>0.5</v>
      </c>
      <c r="D95" s="4">
        <v>7.55</v>
      </c>
      <c r="E95" s="2">
        <f t="shared" si="6"/>
        <v>66.2251655629139</v>
      </c>
      <c r="F95" s="5">
        <f t="shared" si="5"/>
        <v>66225.1655629139</v>
      </c>
    </row>
    <row r="96" spans="1:6">
      <c r="A96" s="1">
        <v>120</v>
      </c>
      <c r="C96" s="1">
        <v>0.5</v>
      </c>
      <c r="D96" s="4">
        <v>8.27</v>
      </c>
      <c r="E96" s="2">
        <f t="shared" si="6"/>
        <v>60.459492140266</v>
      </c>
      <c r="F96" s="5">
        <f t="shared" si="5"/>
        <v>60459.492140266</v>
      </c>
    </row>
    <row r="97" spans="1:6">
      <c r="A97" s="1">
        <v>120</v>
      </c>
      <c r="C97" s="1">
        <v>0.5</v>
      </c>
      <c r="D97" s="4">
        <v>105</v>
      </c>
      <c r="E97" s="2">
        <f t="shared" si="6"/>
        <v>4.76190476190476</v>
      </c>
      <c r="F97" s="5">
        <f t="shared" si="5"/>
        <v>4761.90476190476</v>
      </c>
    </row>
    <row r="98" spans="1:6">
      <c r="A98" s="1">
        <v>120</v>
      </c>
      <c r="C98" s="1">
        <v>0.5</v>
      </c>
      <c r="D98" s="4">
        <v>105</v>
      </c>
      <c r="E98" s="2">
        <f t="shared" si="6"/>
        <v>4.76190476190476</v>
      </c>
      <c r="F98" s="5">
        <f t="shared" si="5"/>
        <v>4761.90476190476</v>
      </c>
    </row>
    <row r="99" spans="1:6">
      <c r="A99" s="1">
        <v>110</v>
      </c>
      <c r="C99" s="1">
        <v>0.5</v>
      </c>
      <c r="D99" s="4">
        <v>7.15</v>
      </c>
      <c r="E99" s="2">
        <f t="shared" si="6"/>
        <v>69.9300699300699</v>
      </c>
      <c r="F99" s="5">
        <f t="shared" si="5"/>
        <v>69930.0699300699</v>
      </c>
    </row>
    <row r="100" spans="1:6">
      <c r="A100" s="1">
        <v>110</v>
      </c>
      <c r="C100" s="1">
        <v>0.5</v>
      </c>
      <c r="D100" s="4">
        <v>6.7</v>
      </c>
      <c r="E100" s="2">
        <f t="shared" si="6"/>
        <v>74.6268656716418</v>
      </c>
      <c r="F100" s="5">
        <f t="shared" si="5"/>
        <v>74626.8656716418</v>
      </c>
    </row>
    <row r="101" spans="1:6">
      <c r="A101" s="1">
        <v>110</v>
      </c>
      <c r="C101" s="1">
        <v>0.5</v>
      </c>
      <c r="D101" s="4">
        <v>6.2</v>
      </c>
      <c r="E101" s="2">
        <f t="shared" si="6"/>
        <v>80.6451612903226</v>
      </c>
      <c r="F101" s="5">
        <f t="shared" si="5"/>
        <v>80645.1612903226</v>
      </c>
    </row>
    <row r="102" spans="1:6">
      <c r="A102" s="1">
        <v>110</v>
      </c>
      <c r="C102" s="1">
        <v>0.5</v>
      </c>
      <c r="D102" s="4">
        <v>105</v>
      </c>
      <c r="E102" s="2">
        <f t="shared" si="6"/>
        <v>4.76190476190476</v>
      </c>
      <c r="F102" s="5">
        <f t="shared" si="5"/>
        <v>4761.90476190476</v>
      </c>
    </row>
    <row r="103" spans="1:6">
      <c r="A103" s="1">
        <v>110</v>
      </c>
      <c r="C103" s="1">
        <v>0.5</v>
      </c>
      <c r="D103" s="4">
        <v>105</v>
      </c>
      <c r="E103" s="2">
        <f t="shared" si="6"/>
        <v>4.76190476190476</v>
      </c>
      <c r="F103" s="5">
        <f>E103*1000</f>
        <v>4761.90476190476</v>
      </c>
    </row>
    <row r="104" spans="1:6">
      <c r="A104" s="1">
        <v>100</v>
      </c>
      <c r="C104" s="1">
        <v>0.5</v>
      </c>
      <c r="D104" s="4">
        <v>5.32</v>
      </c>
      <c r="E104" s="2">
        <f t="shared" si="6"/>
        <v>93.984962406015</v>
      </c>
      <c r="F104" s="5">
        <f>E104*1000</f>
        <v>93984.962406015</v>
      </c>
    </row>
    <row r="105" spans="1:6">
      <c r="A105" s="1">
        <v>100</v>
      </c>
      <c r="C105" s="1">
        <v>0.5</v>
      </c>
      <c r="D105" s="4">
        <v>66.3</v>
      </c>
      <c r="E105" s="2">
        <f t="shared" si="6"/>
        <v>7.54147812971342</v>
      </c>
      <c r="F105" s="5">
        <f>E105*1000</f>
        <v>7541.47812971342</v>
      </c>
    </row>
    <row r="106" spans="1:6">
      <c r="A106" s="1">
        <v>100</v>
      </c>
      <c r="C106" s="1">
        <v>0.5</v>
      </c>
      <c r="D106" s="4">
        <v>5.4</v>
      </c>
      <c r="E106" s="2">
        <f t="shared" si="6"/>
        <v>92.5925925925926</v>
      </c>
      <c r="F106" s="5">
        <f>E106*1000</f>
        <v>92592.5925925926</v>
      </c>
    </row>
    <row r="107" spans="1:6">
      <c r="A107" s="1">
        <v>100</v>
      </c>
      <c r="C107" s="1">
        <v>0.5</v>
      </c>
      <c r="D107" s="4">
        <v>6.93</v>
      </c>
      <c r="E107" s="2">
        <f t="shared" si="6"/>
        <v>72.1500721500722</v>
      </c>
      <c r="F107" s="5">
        <f>E107*1000</f>
        <v>72150.0721500722</v>
      </c>
    </row>
    <row r="108" spans="1:6">
      <c r="A108" s="1">
        <v>100</v>
      </c>
      <c r="C108" s="1">
        <v>0.5</v>
      </c>
      <c r="D108" s="4">
        <v>8.73</v>
      </c>
      <c r="E108" s="2">
        <f t="shared" si="6"/>
        <v>57.2737686139748</v>
      </c>
      <c r="F108" s="5">
        <f>E108*1000</f>
        <v>57273.7686139748</v>
      </c>
    </row>
    <row r="109" spans="1:6">
      <c r="D109" s="4"/>
      <c r="F109" s="5"/>
    </row>
    <row r="110" spans="1:6">
      <c r="D110" s="4"/>
      <c r="F110" s="5"/>
    </row>
    <row r="111" spans="1:6">
      <c r="D111" s="4"/>
    </row>
    <row r="112" spans="1:6">
      <c r="D112" s="4"/>
    </row>
    <row r="113" spans="4:6">
      <c r="D113" s="4"/>
    </row>
    <row r="114" spans="4:6">
      <c r="D114" s="4"/>
      <c r="F114" s="5"/>
    </row>
    <row r="115" spans="4:6">
      <c r="D115" s="4"/>
      <c r="F115" s="5"/>
    </row>
    <row r="116" spans="4:6">
      <c r="D116" s="4"/>
      <c r="F116" s="5"/>
    </row>
    <row r="117" spans="4:6">
      <c r="D117" s="4"/>
      <c r="F117" s="5"/>
    </row>
    <row r="118" spans="4:6">
      <c r="D118" s="4"/>
      <c r="F118" s="5"/>
    </row>
    <row r="119" spans="4:6">
      <c r="D119" s="4"/>
      <c r="F119" s="5"/>
    </row>
    <row r="120" spans="4:6">
      <c r="D120" s="4"/>
      <c r="F120" s="5"/>
    </row>
    <row r="121" spans="4:6">
      <c r="D121" s="4"/>
      <c r="F121" s="5"/>
    </row>
    <row r="122" spans="4:6">
      <c r="D122" s="4"/>
      <c r="F122" s="5"/>
    </row>
    <row r="123" spans="4:6">
      <c r="D123" s="4"/>
      <c r="F123" s="5"/>
    </row>
    <row r="124" spans="4:6">
      <c r="D124" s="4"/>
      <c r="F124" s="5"/>
    </row>
    <row r="125" spans="4:6">
      <c r="D125" s="4"/>
      <c r="F125" s="5"/>
    </row>
    <row r="126" spans="4:6">
      <c r="D126" s="4"/>
      <c r="F126" s="5"/>
    </row>
    <row r="127" spans="4:6">
      <c r="D127" s="4"/>
      <c r="F127" s="5"/>
    </row>
    <row r="128" spans="4:6">
      <c r="F128" s="5"/>
    </row>
    <row r="129" spans="4:42">
      <c r="D129" s="4"/>
      <c r="F129" s="5"/>
    </row>
    <row r="130" spans="4:42">
      <c r="D130" s="4"/>
    </row>
    <row r="131" spans="4:42">
      <c r="D131" s="4"/>
    </row>
    <row r="132" spans="4:42">
      <c r="D132" s="4"/>
    </row>
    <row r="133" spans="4:42">
      <c r="D133" s="4"/>
      <c r="F133" s="5"/>
    </row>
    <row r="134" spans="4:42">
      <c r="D134" s="4"/>
      <c r="F134" s="5"/>
    </row>
    <row r="135" spans="4:42">
      <c r="D135" s="4"/>
      <c r="F135" s="5"/>
    </row>
    <row r="136" spans="4:42">
      <c r="D136" s="4"/>
      <c r="F136" s="5"/>
    </row>
    <row r="137" spans="4:42">
      <c r="D137" s="4"/>
      <c r="F137" s="5"/>
    </row>
    <row r="138" spans="4:42">
      <c r="D138" s="4"/>
      <c r="F138" s="5"/>
    </row>
    <row r="139" spans="4:42">
      <c r="D139" s="4"/>
      <c r="F139" s="5"/>
    </row>
    <row r="140" spans="4:42">
      <c r="D140" s="4"/>
      <c r="F140" s="5"/>
      <c r="U140" s="3"/>
      <c r="AB140" s="3"/>
      <c r="AI140" s="3"/>
      <c r="AP140" s="3"/>
    </row>
    <row r="141" spans="4:42">
      <c r="D141" s="4"/>
      <c r="F141" s="5"/>
    </row>
    <row r="142" spans="4:42">
      <c r="D142" s="4"/>
      <c r="F142" s="5"/>
    </row>
    <row r="143" spans="4:42">
      <c r="F143" s="5"/>
    </row>
    <row r="144" spans="4:42">
      <c r="D144" s="4"/>
      <c r="F144" s="5"/>
    </row>
    <row r="145" spans="4:35">
      <c r="D145" s="4"/>
      <c r="F145" s="5"/>
    </row>
    <row r="146" spans="4:35">
      <c r="D146" s="4"/>
      <c r="F146" s="5"/>
      <c r="U146" s="3"/>
      <c r="AB146" s="3"/>
      <c r="AI146" s="3"/>
    </row>
    <row r="147" spans="4:35">
      <c r="D147" s="4"/>
      <c r="F147" s="5"/>
      <c r="R147" s="8"/>
    </row>
    <row r="148" spans="4:35">
      <c r="D148" s="4"/>
      <c r="F148" s="5"/>
    </row>
    <row r="149" spans="4:35">
      <c r="D149" s="4"/>
    </row>
    <row r="150" spans="4:35">
      <c r="D150" s="4"/>
    </row>
    <row r="151" spans="4:35">
      <c r="D151" s="4"/>
    </row>
    <row r="152" spans="4:35">
      <c r="D152" s="4"/>
    </row>
    <row r="153" spans="4:35">
      <c r="D153" s="4"/>
    </row>
    <row r="154" spans="4:35">
      <c r="D154" s="4"/>
    </row>
    <row r="155" spans="4:35">
      <c r="D155" s="4"/>
    </row>
    <row r="156" spans="4:35">
      <c r="D156" s="4"/>
    </row>
    <row r="157" spans="4:35">
      <c r="D157" s="4"/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LibreOffice/26.2.5.1$Windows_X86_64 LibreOffice_project/997786b8bfe5fadf793c1218fed3f515ec806f1b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Kivijärvi Heidi</dc:creator>
  <cp:lastModifiedBy>QIMING CHEN</cp:lastModifiedBy>
  <cp:revision>25</cp:revision>
  <dcterms:created xsi:type="dcterms:W3CDTF">2025-01-07T11:01:00Z</dcterms:created>
  <dcterms:modified xsi:type="dcterms:W3CDTF">2026-08-29T12:53:24Z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950E51946363EF0414AC926ADC3DA30D_42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