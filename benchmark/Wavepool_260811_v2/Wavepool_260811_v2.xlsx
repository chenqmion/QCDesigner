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8960" tabRatio="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<sst xmlns="http://schemas.openxmlformats.org/spreadsheetml/2006/main" count="18" uniqueCount="6">
  <si>
    <t>Sample</t>
  </si>
  <si>
    <t>Voltage (V)</t>
  </si>
  <si>
    <t>Current (uA)</t>
  </si>
  <si>
    <t>Resistance (kOhm)</t>
  </si>
  <si>
    <t>ground plane resistance</t>
  </si>
  <si>
    <t>substrate resistance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</si>
</sst>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0;[Red]0.00"/>
    <numFmt numFmtId="177" formatCode="0.0000"/>
    <numFmt numFmtId="178" formatCode="hh:mm"/>
    <numFmt numFmtId="179" formatCode="0.000"/>
  </numFmts>
  <fonts count="25">
    <font>
      <sz val="11"/>
      <color theme="1"/>
      <name val="Calibri"/>
      <charset val="1"/>
    </font>
    <font>
      <b/>
      <sz val="11"/>
      <color theme="1"/>
      <name val="Calibri"/>
      <charset val="1"/>
    </font>
    <font>
      <sz val="11"/>
      <name val="Calibri"/>
      <charset val="1"/>
    </font>
    <font>
      <sz val="11"/>
      <color rgb="FFFF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Border="0" applyAlignment="0" applyProtection="0"/>
    <xf numFmtId="44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42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 applyProtection="1"/>
    <xf numFmtId="176" fontId="0" fillId="0" borderId="0" xfId="0" applyNumberFormat="1" applyAlignment="1" applyProtection="1"/>
    <xf numFmtId="0" fontId="1" fillId="0" borderId="0" xfId="0" applyFont="1" applyAlignment="1" applyProtection="1"/>
    <xf numFmtId="177" fontId="0" fillId="0" borderId="0" xfId="0" applyNumberFormat="1" applyAlignment="1" applyProtection="1"/>
    <xf numFmtId="0" fontId="2" fillId="0" borderId="0" xfId="0" applyFont="1" applyAlignment="1" applyProtection="1"/>
    <xf numFmtId="178" fontId="0" fillId="0" borderId="0" xfId="0" applyNumberFormat="1" applyAlignment="1" applyProtection="1"/>
    <xf numFmtId="179" fontId="0" fillId="0" borderId="0" xfId="0" applyNumberFormat="1" applyAlignment="1" applyProtection="1"/>
    <xf numFmtId="0" fontId="3" fillId="0" borderId="0" xfId="0" applyFont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57"/>
  <sheetViews>
    <sheetView tabSelected="1" workbookViewId="0">
      <selection activeCell="I6" sqref="I6"/>
    </sheetView>
  </sheetViews>
  <sheetFormatPr defaultColWidth="8.54464285714286" defaultRowHeight="16.8"/>
  <cols>
    <col min="1" max="1" width="20.1428571428571" style="1" customWidth="1"/>
    <col min="3" max="3" width="10.8482142857143" style="1" customWidth="1"/>
    <col min="4" max="4" width="11" style="1" customWidth="1"/>
    <col min="5" max="5" width="16.8392857142857" style="2" customWidth="1"/>
    <col min="6" max="6" width="18.1428571428571" style="1" customWidth="1"/>
    <col min="9" max="9" width="16.4285714285714" style="1" customWidth="1"/>
    <col min="11" max="11" width="10.1428571428571" style="1" customWidth="1"/>
    <col min="17" max="17" width="9.14285714285714" style="1" customWidth="1"/>
    <col min="16379" max="16384" width="11.5267857142857" style="1" customWidth="1"/>
  </cols>
  <sheetData>
    <row r="1" spans="1:14">
      <c r="A1" s="3" t="s">
        <v>0</v>
      </c>
      <c r="C1" s="1" t="s">
        <v>1</v>
      </c>
      <c r="D1" s="1" t="s">
        <v>2</v>
      </c>
      <c r="E1" s="2" t="s">
        <v>3</v>
      </c>
    </row>
    <row r="2" spans="1:14">
      <c r="A2" s="1" t="s">
        <v>4</v>
      </c>
      <c r="C2" s="1">
        <v>0.001</v>
      </c>
      <c r="D2" s="4">
        <v>105</v>
      </c>
      <c r="E2" s="2">
        <f>C2/(D2*0.000001)/1000</f>
        <v>0.00952380952380952</v>
      </c>
      <c r="F2" s="5">
        <f t="shared" ref="F2:F65" si="0">E2*1000</f>
        <v>9.52380952380953</v>
      </c>
    </row>
    <row r="3" spans="1:14">
      <c r="A3" s="1" t="s">
        <v>5</v>
      </c>
      <c r="C3" s="1">
        <v>0.1</v>
      </c>
      <c r="D3" s="4">
        <v>0.011</v>
      </c>
      <c r="E3" s="2">
        <f>C3/(D3*0.000001)/1000</f>
        <v>9090.90909090909</v>
      </c>
      <c r="F3" s="5">
        <f t="shared" si="0"/>
        <v>9090909.09090909</v>
      </c>
      <c r="G3" s="1"/>
    </row>
    <row r="4" spans="1:14">
      <c r="D4" s="4"/>
      <c r="F4" s="5">
        <f t="shared" si="0"/>
        <v>0</v>
      </c>
    </row>
    <row r="5" spans="1:14">
      <c r="D5" s="4"/>
      <c r="E5" s="6"/>
      <c r="F5" s="5">
        <f t="shared" si="0"/>
        <v>0</v>
      </c>
    </row>
    <row r="6" spans="1:14">
      <c r="A6" s="1">
        <v>290</v>
      </c>
      <c r="C6" s="1">
        <v>0.1</v>
      </c>
      <c r="D6" s="4">
        <v>57.3</v>
      </c>
      <c r="E6" s="2">
        <f t="shared" ref="E6:E30" si="1">C6/(D6*0.000001)/1000</f>
        <v>1.74520069808028</v>
      </c>
      <c r="F6" s="5">
        <f t="shared" si="0"/>
        <v>1745.20069808028</v>
      </c>
      <c r="K6" s="7"/>
      <c r="L6" s="7"/>
      <c r="M6" s="7"/>
      <c r="N6" s="7"/>
    </row>
    <row r="7" spans="1:14">
      <c r="A7" s="1">
        <v>290</v>
      </c>
      <c r="C7" s="1">
        <v>0.1</v>
      </c>
      <c r="D7" s="4">
        <v>70.7</v>
      </c>
      <c r="E7" s="2">
        <f t="shared" si="1"/>
        <v>1.41442715700141</v>
      </c>
      <c r="F7" s="5">
        <f t="shared" si="0"/>
        <v>1414.42715700141</v>
      </c>
    </row>
    <row r="8" spans="1:14">
      <c r="A8" s="1">
        <v>290</v>
      </c>
      <c r="C8" s="1">
        <v>0.1</v>
      </c>
      <c r="D8" s="4">
        <v>58.9</v>
      </c>
      <c r="E8" s="2">
        <f t="shared" si="1"/>
        <v>1.69779286926995</v>
      </c>
      <c r="F8" s="5">
        <f t="shared" si="0"/>
        <v>1697.79286926995</v>
      </c>
    </row>
    <row r="9" spans="1:14">
      <c r="A9" s="1">
        <v>290</v>
      </c>
      <c r="C9" s="1">
        <v>0.1</v>
      </c>
      <c r="D9" s="4">
        <v>65.5</v>
      </c>
      <c r="E9" s="2">
        <f t="shared" si="1"/>
        <v>1.52671755725191</v>
      </c>
      <c r="F9" s="5">
        <f t="shared" si="0"/>
        <v>1526.71755725191</v>
      </c>
    </row>
    <row r="10" spans="1:14">
      <c r="A10" s="1">
        <v>290</v>
      </c>
      <c r="C10" s="1">
        <v>0.1</v>
      </c>
      <c r="D10" s="4">
        <v>57.4</v>
      </c>
      <c r="E10" s="2">
        <f t="shared" si="1"/>
        <v>1.74216027874564</v>
      </c>
      <c r="F10" s="5">
        <f t="shared" si="0"/>
        <v>1742.16027874564</v>
      </c>
    </row>
    <row r="11" spans="1:14">
      <c r="A11" s="1">
        <v>280</v>
      </c>
      <c r="C11" s="1">
        <v>0.1</v>
      </c>
      <c r="D11" s="4">
        <v>49.5</v>
      </c>
      <c r="E11" s="2">
        <f t="shared" si="1"/>
        <v>2.02020202020202</v>
      </c>
      <c r="F11" s="5">
        <f t="shared" si="0"/>
        <v>2020.20202020202</v>
      </c>
    </row>
    <row r="12" spans="1:14">
      <c r="A12" s="1">
        <v>280</v>
      </c>
      <c r="C12" s="1">
        <v>0.1</v>
      </c>
      <c r="D12" s="4">
        <v>59.2</v>
      </c>
      <c r="E12" s="2">
        <f t="shared" si="1"/>
        <v>1.68918918918919</v>
      </c>
      <c r="F12" s="5">
        <f t="shared" si="0"/>
        <v>1689.18918918919</v>
      </c>
    </row>
    <row r="13" spans="1:14">
      <c r="A13" s="1">
        <v>280</v>
      </c>
      <c r="C13" s="1">
        <v>0.1</v>
      </c>
      <c r="D13" s="4">
        <v>36.6</v>
      </c>
      <c r="E13" s="2">
        <f t="shared" si="1"/>
        <v>2.73224043715847</v>
      </c>
      <c r="F13" s="5">
        <f t="shared" si="0"/>
        <v>2732.24043715847</v>
      </c>
    </row>
    <row r="14" spans="1:14">
      <c r="A14" s="1">
        <v>280</v>
      </c>
      <c r="C14" s="1">
        <v>0.1</v>
      </c>
      <c r="D14" s="4">
        <v>64.7</v>
      </c>
      <c r="E14" s="2">
        <f t="shared" si="1"/>
        <v>1.54559505409583</v>
      </c>
      <c r="F14" s="5">
        <f t="shared" si="0"/>
        <v>1545.59505409583</v>
      </c>
    </row>
    <row r="15" spans="1:14">
      <c r="A15" s="1">
        <v>280</v>
      </c>
      <c r="C15" s="1">
        <v>0.1</v>
      </c>
      <c r="D15" s="4">
        <v>32.7</v>
      </c>
      <c r="E15" s="2">
        <f t="shared" si="1"/>
        <v>3.05810397553517</v>
      </c>
      <c r="F15" s="5">
        <f t="shared" si="0"/>
        <v>3058.10397553517</v>
      </c>
    </row>
    <row r="16" spans="1:14">
      <c r="A16" s="1">
        <v>270</v>
      </c>
      <c r="C16" s="1">
        <v>0.1</v>
      </c>
      <c r="D16" s="4">
        <v>68.1</v>
      </c>
      <c r="E16" s="2">
        <f t="shared" si="1"/>
        <v>1.46842878120411</v>
      </c>
      <c r="F16" s="5">
        <f t="shared" si="0"/>
        <v>1468.42878120411</v>
      </c>
    </row>
    <row r="17" spans="1:6">
      <c r="A17" s="1">
        <v>270</v>
      </c>
      <c r="C17" s="1">
        <v>0.1</v>
      </c>
      <c r="D17" s="4">
        <v>48.7</v>
      </c>
      <c r="E17" s="2">
        <f t="shared" si="1"/>
        <v>2.05338809034908</v>
      </c>
      <c r="F17" s="5">
        <f t="shared" si="0"/>
        <v>2053.38809034908</v>
      </c>
    </row>
    <row r="18" spans="1:6">
      <c r="A18" s="1">
        <v>270</v>
      </c>
      <c r="C18" s="1">
        <v>0.1</v>
      </c>
      <c r="D18" s="4">
        <v>53.3</v>
      </c>
      <c r="E18" s="2">
        <f t="shared" si="1"/>
        <v>1.87617260787993</v>
      </c>
      <c r="F18" s="5">
        <f t="shared" si="0"/>
        <v>1876.17260787993</v>
      </c>
    </row>
    <row r="19" spans="1:6">
      <c r="A19" s="1">
        <v>270</v>
      </c>
      <c r="C19" s="1">
        <v>0.1</v>
      </c>
      <c r="D19" s="4">
        <v>68.2</v>
      </c>
      <c r="E19" s="2">
        <f t="shared" si="1"/>
        <v>1.46627565982405</v>
      </c>
      <c r="F19" s="5">
        <f t="shared" si="0"/>
        <v>1466.27565982405</v>
      </c>
    </row>
    <row r="20" spans="1:6">
      <c r="A20" s="1">
        <v>270</v>
      </c>
      <c r="C20" s="1">
        <v>0.1</v>
      </c>
      <c r="D20" s="4">
        <v>63.2</v>
      </c>
      <c r="E20" s="2">
        <f t="shared" si="1"/>
        <v>1.58227848101266</v>
      </c>
      <c r="F20" s="5">
        <f t="shared" si="0"/>
        <v>1582.27848101266</v>
      </c>
    </row>
    <row r="21" spans="1:6">
      <c r="A21" s="1">
        <v>260</v>
      </c>
      <c r="C21" s="1">
        <v>0.1</v>
      </c>
      <c r="D21" s="4">
        <v>45</v>
      </c>
      <c r="E21" s="2">
        <f t="shared" si="1"/>
        <v>2.22222222222222</v>
      </c>
      <c r="F21" s="5">
        <f t="shared" si="0"/>
        <v>2222.22222222222</v>
      </c>
    </row>
    <row r="22" spans="1:6">
      <c r="A22" s="1">
        <v>260</v>
      </c>
      <c r="C22" s="1">
        <v>0.1</v>
      </c>
      <c r="D22" s="4">
        <v>48.9</v>
      </c>
      <c r="E22" s="2">
        <f t="shared" si="1"/>
        <v>2.04498977505112</v>
      </c>
      <c r="F22" s="5">
        <f t="shared" si="0"/>
        <v>2044.98977505112</v>
      </c>
    </row>
    <row r="23" spans="1:6">
      <c r="A23" s="1">
        <v>260</v>
      </c>
      <c r="C23" s="1">
        <v>0.1</v>
      </c>
      <c r="D23" s="4">
        <v>48.8</v>
      </c>
      <c r="E23" s="2">
        <f t="shared" si="1"/>
        <v>2.04918032786885</v>
      </c>
      <c r="F23" s="5">
        <f t="shared" si="0"/>
        <v>2049.18032786885</v>
      </c>
    </row>
    <row r="24" spans="1:6">
      <c r="A24" s="1">
        <v>260</v>
      </c>
      <c r="C24" s="1">
        <v>0.1</v>
      </c>
      <c r="D24" s="4">
        <v>36.1</v>
      </c>
      <c r="E24" s="2">
        <f t="shared" si="1"/>
        <v>2.77008310249308</v>
      </c>
      <c r="F24" s="5">
        <f t="shared" si="0"/>
        <v>2770.08310249308</v>
      </c>
    </row>
    <row r="25" spans="1:6">
      <c r="A25" s="1">
        <v>260</v>
      </c>
      <c r="C25" s="1">
        <v>0.1</v>
      </c>
      <c r="D25" s="4">
        <v>51</v>
      </c>
      <c r="E25" s="2">
        <f t="shared" si="1"/>
        <v>1.96078431372549</v>
      </c>
      <c r="F25" s="5">
        <f t="shared" si="0"/>
        <v>1960.78431372549</v>
      </c>
    </row>
    <row r="26" spans="1:6">
      <c r="A26" s="1">
        <v>250</v>
      </c>
      <c r="C26" s="1">
        <v>0.1</v>
      </c>
      <c r="D26" s="4">
        <v>38.5</v>
      </c>
      <c r="E26" s="2">
        <f t="shared" si="1"/>
        <v>2.5974025974026</v>
      </c>
      <c r="F26" s="5">
        <f t="shared" si="0"/>
        <v>2597.4025974026</v>
      </c>
    </row>
    <row r="27" spans="1:6">
      <c r="A27" s="1">
        <v>250</v>
      </c>
      <c r="C27" s="1">
        <v>0.1</v>
      </c>
      <c r="D27" s="4">
        <v>54.6</v>
      </c>
      <c r="E27" s="2">
        <f t="shared" si="1"/>
        <v>1.83150183150183</v>
      </c>
      <c r="F27" s="5">
        <f t="shared" si="0"/>
        <v>1831.50183150183</v>
      </c>
    </row>
    <row r="28" spans="1:6">
      <c r="A28" s="1">
        <v>250</v>
      </c>
      <c r="C28" s="1">
        <v>0.1</v>
      </c>
      <c r="D28" s="4">
        <v>42.5</v>
      </c>
      <c r="E28" s="2">
        <f t="shared" si="1"/>
        <v>2.35294117647059</v>
      </c>
      <c r="F28" s="5">
        <f t="shared" si="0"/>
        <v>2352.94117647059</v>
      </c>
    </row>
    <row r="29" spans="1:6">
      <c r="A29" s="1">
        <v>250</v>
      </c>
      <c r="C29" s="1">
        <v>0.1</v>
      </c>
      <c r="D29" s="4">
        <v>59</v>
      </c>
      <c r="E29" s="2">
        <f t="shared" si="1"/>
        <v>1.69491525423729</v>
      </c>
      <c r="F29" s="5">
        <f t="shared" si="0"/>
        <v>1694.91525423729</v>
      </c>
    </row>
    <row r="30" spans="1:6">
      <c r="A30" s="1">
        <v>250</v>
      </c>
      <c r="C30" s="1">
        <v>0.1</v>
      </c>
      <c r="D30" s="4">
        <v>35</v>
      </c>
      <c r="E30" s="2">
        <f t="shared" si="1"/>
        <v>2.85714285714286</v>
      </c>
      <c r="F30" s="5">
        <f t="shared" si="0"/>
        <v>2857.14285714286</v>
      </c>
    </row>
    <row r="31" spans="1:6">
      <c r="E31" s="1"/>
      <c r="F31" s="5">
        <f t="shared" si="0"/>
        <v>0</v>
      </c>
    </row>
    <row r="32" spans="1:6">
      <c r="A32" s="1">
        <v>240</v>
      </c>
      <c r="C32" s="1">
        <v>0.1</v>
      </c>
      <c r="D32" s="4">
        <v>45.9</v>
      </c>
      <c r="E32" s="2">
        <f t="shared" ref="E32:E56" si="2">C32/(D32*0.000001)/1000</f>
        <v>2.17864923747277</v>
      </c>
      <c r="F32" s="5">
        <f t="shared" si="0"/>
        <v>2178.64923747277</v>
      </c>
    </row>
    <row r="33" spans="1:6">
      <c r="A33" s="1">
        <v>240</v>
      </c>
      <c r="C33" s="1">
        <v>0.1</v>
      </c>
      <c r="D33" s="4">
        <v>36.5</v>
      </c>
      <c r="E33" s="2">
        <f t="shared" si="2"/>
        <v>2.73972602739726</v>
      </c>
      <c r="F33" s="5">
        <f t="shared" si="0"/>
        <v>2739.72602739726</v>
      </c>
    </row>
    <row r="34" spans="1:6">
      <c r="A34" s="1">
        <v>240</v>
      </c>
      <c r="C34" s="1">
        <v>0.1</v>
      </c>
      <c r="D34" s="4">
        <v>32.8</v>
      </c>
      <c r="E34" s="2">
        <f t="shared" si="2"/>
        <v>3.04878048780488</v>
      </c>
      <c r="F34" s="5">
        <f t="shared" si="0"/>
        <v>3048.78048780488</v>
      </c>
    </row>
    <row r="35" spans="1:6">
      <c r="A35" s="1">
        <v>240</v>
      </c>
      <c r="C35" s="1">
        <v>0.1</v>
      </c>
      <c r="D35" s="4">
        <v>49</v>
      </c>
      <c r="E35" s="2">
        <f t="shared" si="2"/>
        <v>2.04081632653061</v>
      </c>
      <c r="F35" s="5">
        <f t="shared" si="0"/>
        <v>2040.81632653061</v>
      </c>
    </row>
    <row r="36" spans="1:6">
      <c r="A36" s="1">
        <v>240</v>
      </c>
      <c r="C36" s="1">
        <v>0.1</v>
      </c>
      <c r="D36" s="4">
        <v>45.2</v>
      </c>
      <c r="E36" s="2">
        <f t="shared" si="2"/>
        <v>2.21238938053097</v>
      </c>
      <c r="F36" s="5">
        <f t="shared" si="0"/>
        <v>2212.38938053097</v>
      </c>
    </row>
    <row r="37" spans="1:6">
      <c r="A37" s="1">
        <v>230</v>
      </c>
      <c r="C37" s="1">
        <v>0.1</v>
      </c>
      <c r="D37" s="4">
        <v>41</v>
      </c>
      <c r="E37" s="2">
        <f t="shared" si="2"/>
        <v>2.4390243902439</v>
      </c>
      <c r="F37" s="5">
        <f t="shared" si="0"/>
        <v>2439.0243902439</v>
      </c>
    </row>
    <row r="38" spans="1:6">
      <c r="A38" s="1">
        <v>230</v>
      </c>
      <c r="C38" s="1">
        <v>0.1</v>
      </c>
      <c r="D38" s="4">
        <v>40.5</v>
      </c>
      <c r="E38" s="2">
        <f t="shared" si="2"/>
        <v>2.46913580246914</v>
      </c>
      <c r="F38" s="5">
        <f t="shared" si="0"/>
        <v>2469.13580246914</v>
      </c>
    </row>
    <row r="39" spans="1:6">
      <c r="A39" s="1">
        <v>230</v>
      </c>
      <c r="C39" s="1">
        <v>0.1</v>
      </c>
      <c r="D39" s="4">
        <v>43.6</v>
      </c>
      <c r="E39" s="2">
        <f t="shared" si="2"/>
        <v>2.29357798165138</v>
      </c>
      <c r="F39" s="5">
        <f t="shared" si="0"/>
        <v>2293.57798165138</v>
      </c>
    </row>
    <row r="40" spans="1:6">
      <c r="A40" s="1">
        <v>230</v>
      </c>
      <c r="C40" s="1">
        <v>0.1</v>
      </c>
      <c r="D40" s="4">
        <v>50.6</v>
      </c>
      <c r="E40" s="2">
        <f t="shared" si="2"/>
        <v>1.97628458498024</v>
      </c>
      <c r="F40" s="5">
        <f t="shared" si="0"/>
        <v>1976.28458498024</v>
      </c>
    </row>
    <row r="41" spans="1:6">
      <c r="A41" s="1">
        <v>230</v>
      </c>
      <c r="C41" s="1">
        <v>0.1</v>
      </c>
      <c r="D41" s="4">
        <v>41.6</v>
      </c>
      <c r="E41" s="2">
        <f t="shared" si="2"/>
        <v>2.40384615384615</v>
      </c>
      <c r="F41" s="5">
        <f t="shared" si="0"/>
        <v>2403.84615384615</v>
      </c>
    </row>
    <row r="42" spans="1:6">
      <c r="A42" s="1">
        <v>220</v>
      </c>
      <c r="C42" s="1">
        <v>0.1</v>
      </c>
      <c r="D42" s="4">
        <v>41</v>
      </c>
      <c r="E42" s="2">
        <f t="shared" si="2"/>
        <v>2.4390243902439</v>
      </c>
      <c r="F42" s="5">
        <f t="shared" si="0"/>
        <v>2439.0243902439</v>
      </c>
    </row>
    <row r="43" spans="1:6">
      <c r="A43" s="1">
        <v>220</v>
      </c>
      <c r="C43" s="1">
        <v>0.1</v>
      </c>
      <c r="D43" s="4">
        <v>48.1</v>
      </c>
      <c r="E43" s="2">
        <f t="shared" si="2"/>
        <v>2.07900207900208</v>
      </c>
      <c r="F43" s="5">
        <f t="shared" si="0"/>
        <v>2079.00207900208</v>
      </c>
    </row>
    <row r="44" spans="1:6">
      <c r="A44" s="1">
        <v>220</v>
      </c>
      <c r="C44" s="1">
        <v>0.1</v>
      </c>
      <c r="D44" s="4">
        <v>30.9</v>
      </c>
      <c r="E44" s="2">
        <f t="shared" si="2"/>
        <v>3.23624595469256</v>
      </c>
      <c r="F44" s="5">
        <f t="shared" si="0"/>
        <v>3236.24595469256</v>
      </c>
    </row>
    <row r="45" spans="1:6">
      <c r="A45" s="1">
        <v>220</v>
      </c>
      <c r="C45" s="1">
        <v>0.1</v>
      </c>
      <c r="D45" s="4">
        <v>44.1</v>
      </c>
      <c r="E45" s="2">
        <f t="shared" si="2"/>
        <v>2.26757369614512</v>
      </c>
      <c r="F45" s="5">
        <f t="shared" si="0"/>
        <v>2267.57369614512</v>
      </c>
    </row>
    <row r="46" spans="1:6">
      <c r="A46" s="1">
        <v>220</v>
      </c>
      <c r="C46" s="1">
        <v>0.1</v>
      </c>
      <c r="D46" s="4">
        <v>33.3</v>
      </c>
      <c r="E46" s="2">
        <f t="shared" si="2"/>
        <v>3.003003003003</v>
      </c>
      <c r="F46" s="5">
        <f t="shared" si="0"/>
        <v>3003.003003003</v>
      </c>
    </row>
    <row r="47" spans="1:6">
      <c r="A47" s="1">
        <v>210</v>
      </c>
      <c r="C47" s="1">
        <v>0.1</v>
      </c>
      <c r="D47" s="4">
        <v>25</v>
      </c>
      <c r="E47" s="2">
        <f t="shared" si="2"/>
        <v>4</v>
      </c>
      <c r="F47" s="5">
        <f t="shared" si="0"/>
        <v>4000</v>
      </c>
    </row>
    <row r="48" spans="1:6">
      <c r="A48" s="1">
        <v>210</v>
      </c>
      <c r="C48" s="1">
        <v>0.1</v>
      </c>
      <c r="D48" s="4">
        <v>32.4</v>
      </c>
      <c r="E48" s="2">
        <f t="shared" si="2"/>
        <v>3.08641975308642</v>
      </c>
      <c r="F48" s="5">
        <f t="shared" si="0"/>
        <v>3086.41975308642</v>
      </c>
    </row>
    <row r="49" spans="1:6">
      <c r="A49" s="1">
        <v>210</v>
      </c>
      <c r="C49" s="1">
        <v>0.1</v>
      </c>
      <c r="D49" s="4">
        <v>34.3</v>
      </c>
      <c r="E49" s="2">
        <f t="shared" si="2"/>
        <v>2.91545189504373</v>
      </c>
      <c r="F49" s="5">
        <f t="shared" si="0"/>
        <v>2915.45189504373</v>
      </c>
    </row>
    <row r="50" spans="1:6">
      <c r="A50" s="1">
        <v>210</v>
      </c>
      <c r="C50" s="1">
        <v>0.1</v>
      </c>
      <c r="D50" s="4">
        <v>38</v>
      </c>
      <c r="E50" s="2">
        <f t="shared" si="2"/>
        <v>2.63157894736842</v>
      </c>
      <c r="F50" s="5">
        <f t="shared" si="0"/>
        <v>2631.57894736842</v>
      </c>
    </row>
    <row r="51" spans="1:6">
      <c r="A51" s="1">
        <v>210</v>
      </c>
      <c r="C51" s="1">
        <v>0.1</v>
      </c>
      <c r="D51" s="4">
        <v>37.7</v>
      </c>
      <c r="E51" s="2">
        <f t="shared" si="2"/>
        <v>2.6525198938992</v>
      </c>
      <c r="F51" s="5">
        <f t="shared" si="0"/>
        <v>2652.5198938992</v>
      </c>
    </row>
    <row r="52" spans="1:6">
      <c r="A52" s="1">
        <v>200</v>
      </c>
      <c r="C52" s="1">
        <v>0.1</v>
      </c>
      <c r="D52" s="4">
        <v>39</v>
      </c>
      <c r="E52" s="2">
        <f t="shared" si="2"/>
        <v>2.56410256410256</v>
      </c>
      <c r="F52" s="5">
        <f t="shared" si="0"/>
        <v>2564.10256410256</v>
      </c>
    </row>
    <row r="53" spans="1:6">
      <c r="A53" s="1">
        <v>200</v>
      </c>
      <c r="C53" s="1">
        <v>0.1</v>
      </c>
      <c r="D53" s="4">
        <v>28.6</v>
      </c>
      <c r="E53" s="2">
        <f t="shared" si="2"/>
        <v>3.4965034965035</v>
      </c>
      <c r="F53" s="5">
        <f t="shared" si="0"/>
        <v>3496.5034965035</v>
      </c>
    </row>
    <row r="54" spans="1:6">
      <c r="A54" s="1">
        <v>200</v>
      </c>
      <c r="C54" s="1">
        <v>0.1</v>
      </c>
      <c r="D54" s="4">
        <v>19.2</v>
      </c>
      <c r="E54" s="2">
        <f t="shared" si="2"/>
        <v>5.20833333333333</v>
      </c>
      <c r="F54" s="5">
        <f t="shared" si="0"/>
        <v>5208.33333333333</v>
      </c>
    </row>
    <row r="55" spans="1:6">
      <c r="A55" s="1">
        <v>200</v>
      </c>
      <c r="C55" s="1">
        <v>0.1</v>
      </c>
      <c r="D55" s="4">
        <v>31.5</v>
      </c>
      <c r="E55" s="2">
        <f t="shared" si="2"/>
        <v>3.17460317460317</v>
      </c>
      <c r="F55" s="5">
        <f t="shared" si="0"/>
        <v>3174.60317460317</v>
      </c>
    </row>
    <row r="56" spans="1:6">
      <c r="A56" s="1">
        <v>200</v>
      </c>
      <c r="C56" s="1">
        <v>0.1</v>
      </c>
      <c r="D56" s="4">
        <v>35.3</v>
      </c>
      <c r="E56" s="2">
        <f t="shared" si="2"/>
        <v>2.8328611898017</v>
      </c>
      <c r="F56" s="5">
        <f t="shared" si="0"/>
        <v>2832.8611898017</v>
      </c>
    </row>
    <row r="57" spans="1:6">
      <c r="E57" s="1"/>
      <c r="F57" s="5">
        <f t="shared" si="0"/>
        <v>0</v>
      </c>
    </row>
    <row r="58" spans="1:6">
      <c r="A58" s="1">
        <v>190</v>
      </c>
      <c r="C58" s="1">
        <v>0.1</v>
      </c>
      <c r="D58" s="4">
        <v>30.9</v>
      </c>
      <c r="E58" s="2">
        <f t="shared" ref="E58:E82" si="3">C58/(D58*0.000001)/1000</f>
        <v>3.23624595469256</v>
      </c>
      <c r="F58" s="5">
        <f t="shared" si="0"/>
        <v>3236.24595469256</v>
      </c>
    </row>
    <row r="59" spans="1:6">
      <c r="A59" s="1">
        <v>190</v>
      </c>
      <c r="C59" s="1">
        <v>0.1</v>
      </c>
      <c r="D59" s="4">
        <v>28.5</v>
      </c>
      <c r="E59" s="2">
        <f t="shared" si="3"/>
        <v>3.50877192982456</v>
      </c>
      <c r="F59" s="5">
        <f t="shared" si="0"/>
        <v>3508.77192982456</v>
      </c>
    </row>
    <row r="60" spans="1:6">
      <c r="A60" s="1">
        <v>190</v>
      </c>
      <c r="C60" s="1">
        <v>0.1</v>
      </c>
      <c r="D60" s="4">
        <v>28.2</v>
      </c>
      <c r="E60" s="2">
        <f t="shared" si="3"/>
        <v>3.54609929078014</v>
      </c>
      <c r="F60" s="5">
        <f t="shared" si="0"/>
        <v>3546.09929078014</v>
      </c>
    </row>
    <row r="61" spans="1:6">
      <c r="A61" s="1">
        <v>190</v>
      </c>
      <c r="C61" s="1">
        <v>0.1</v>
      </c>
      <c r="D61" s="4">
        <v>34.7</v>
      </c>
      <c r="E61" s="2">
        <f t="shared" si="3"/>
        <v>2.88184438040346</v>
      </c>
      <c r="F61" s="5">
        <f t="shared" si="0"/>
        <v>2881.84438040346</v>
      </c>
    </row>
    <row r="62" spans="1:6">
      <c r="A62" s="1">
        <v>190</v>
      </c>
      <c r="C62" s="1">
        <v>0.1</v>
      </c>
      <c r="D62" s="4">
        <v>29.9</v>
      </c>
      <c r="E62" s="2">
        <f t="shared" si="3"/>
        <v>3.34448160535117</v>
      </c>
      <c r="F62" s="5">
        <f t="shared" si="0"/>
        <v>3344.48160535117</v>
      </c>
    </row>
    <row r="63" spans="1:6">
      <c r="A63" s="1">
        <v>180</v>
      </c>
      <c r="C63" s="1">
        <v>0.1</v>
      </c>
      <c r="D63" s="4">
        <v>27.1</v>
      </c>
      <c r="E63" s="2">
        <f t="shared" si="3"/>
        <v>3.690036900369</v>
      </c>
      <c r="F63" s="5">
        <f t="shared" si="0"/>
        <v>3690.036900369</v>
      </c>
    </row>
    <row r="64" spans="1:6">
      <c r="A64" s="1">
        <v>180</v>
      </c>
      <c r="C64" s="1">
        <v>0.1</v>
      </c>
      <c r="D64" s="4">
        <v>27.5</v>
      </c>
      <c r="E64" s="2">
        <f t="shared" si="3"/>
        <v>3.63636363636364</v>
      </c>
      <c r="F64" s="5">
        <f t="shared" si="0"/>
        <v>3636.36363636364</v>
      </c>
    </row>
    <row r="65" spans="1:6">
      <c r="A65" s="1">
        <v>180</v>
      </c>
      <c r="C65" s="1">
        <v>0.1</v>
      </c>
      <c r="D65" s="4">
        <v>23</v>
      </c>
      <c r="E65" s="2">
        <f t="shared" si="3"/>
        <v>4.34782608695652</v>
      </c>
      <c r="F65" s="5">
        <f t="shared" si="0"/>
        <v>4347.82608695652</v>
      </c>
    </row>
    <row r="66" spans="1:6">
      <c r="A66" s="1">
        <v>180</v>
      </c>
      <c r="C66" s="1">
        <v>0.1</v>
      </c>
      <c r="D66" s="4">
        <v>26.6</v>
      </c>
      <c r="E66" s="2">
        <f t="shared" si="3"/>
        <v>3.7593984962406</v>
      </c>
      <c r="F66" s="5">
        <f t="shared" ref="F66:F108" si="4">E66*1000</f>
        <v>3759.3984962406</v>
      </c>
    </row>
    <row r="67" spans="1:6">
      <c r="A67" s="1">
        <v>180</v>
      </c>
      <c r="C67" s="1">
        <v>0.1</v>
      </c>
      <c r="D67" s="4">
        <v>26</v>
      </c>
      <c r="E67" s="2">
        <f t="shared" si="3"/>
        <v>3.84615384615385</v>
      </c>
      <c r="F67" s="5">
        <f t="shared" si="4"/>
        <v>3846.15384615385</v>
      </c>
    </row>
    <row r="68" spans="1:6">
      <c r="A68" s="1">
        <v>170</v>
      </c>
      <c r="C68" s="1">
        <v>0.1</v>
      </c>
      <c r="D68" s="4">
        <v>23.2</v>
      </c>
      <c r="E68" s="2">
        <f t="shared" si="3"/>
        <v>4.31034482758621</v>
      </c>
      <c r="F68" s="5">
        <f t="shared" si="4"/>
        <v>4310.34482758621</v>
      </c>
    </row>
    <row r="69" spans="1:6">
      <c r="A69" s="1">
        <v>170</v>
      </c>
      <c r="C69" s="1">
        <v>0.1</v>
      </c>
      <c r="D69" s="4">
        <v>22.9</v>
      </c>
      <c r="E69" s="2">
        <f t="shared" si="3"/>
        <v>4.36681222707424</v>
      </c>
      <c r="F69" s="5">
        <f t="shared" si="4"/>
        <v>4366.81222707424</v>
      </c>
    </row>
    <row r="70" spans="1:6">
      <c r="A70" s="1">
        <v>170</v>
      </c>
      <c r="C70" s="1">
        <v>0.1</v>
      </c>
      <c r="D70" s="4">
        <v>21.9</v>
      </c>
      <c r="E70" s="2">
        <f t="shared" si="3"/>
        <v>4.5662100456621</v>
      </c>
      <c r="F70" s="5">
        <f t="shared" si="4"/>
        <v>4566.2100456621</v>
      </c>
    </row>
    <row r="71" spans="1:6">
      <c r="A71" s="1">
        <v>170</v>
      </c>
      <c r="C71" s="1">
        <v>0.1</v>
      </c>
      <c r="D71" s="4">
        <v>23.5</v>
      </c>
      <c r="E71" s="2">
        <f t="shared" si="3"/>
        <v>4.25531914893617</v>
      </c>
      <c r="F71" s="5">
        <f t="shared" si="4"/>
        <v>4255.31914893617</v>
      </c>
    </row>
    <row r="72" spans="1:6">
      <c r="A72" s="1">
        <v>170</v>
      </c>
      <c r="C72" s="1">
        <v>0.1</v>
      </c>
      <c r="D72" s="4">
        <v>20.9</v>
      </c>
      <c r="E72" s="2">
        <f t="shared" si="3"/>
        <v>4.78468899521531</v>
      </c>
      <c r="F72" s="5">
        <f t="shared" si="4"/>
        <v>4784.68899521531</v>
      </c>
    </row>
    <row r="73" spans="1:6">
      <c r="A73" s="1">
        <v>160</v>
      </c>
      <c r="C73" s="1">
        <v>0.1</v>
      </c>
      <c r="D73" s="4">
        <v>17.3</v>
      </c>
      <c r="E73" s="2">
        <f t="shared" si="3"/>
        <v>5.78034682080925</v>
      </c>
      <c r="F73" s="5">
        <f t="shared" si="4"/>
        <v>5780.34682080925</v>
      </c>
    </row>
    <row r="74" spans="1:6">
      <c r="A74" s="1">
        <v>160</v>
      </c>
      <c r="C74" s="1">
        <v>0.1</v>
      </c>
      <c r="D74" s="4">
        <v>18</v>
      </c>
      <c r="E74" s="2">
        <f t="shared" si="3"/>
        <v>5.55555555555556</v>
      </c>
      <c r="F74" s="5">
        <f t="shared" si="4"/>
        <v>5555.55555555556</v>
      </c>
    </row>
    <row r="75" spans="1:6">
      <c r="A75" s="1">
        <v>160</v>
      </c>
      <c r="C75" s="1">
        <v>0.1</v>
      </c>
      <c r="D75" s="4">
        <v>18.6</v>
      </c>
      <c r="E75" s="2">
        <f t="shared" si="3"/>
        <v>5.37634408602151</v>
      </c>
      <c r="F75" s="5">
        <f t="shared" si="4"/>
        <v>5376.34408602151</v>
      </c>
    </row>
    <row r="76" spans="1:6">
      <c r="A76" s="1">
        <v>160</v>
      </c>
      <c r="C76" s="1">
        <v>0.1</v>
      </c>
      <c r="D76" s="4">
        <v>19.8</v>
      </c>
      <c r="E76" s="2">
        <f t="shared" si="3"/>
        <v>5.05050505050505</v>
      </c>
      <c r="F76" s="5">
        <f t="shared" si="4"/>
        <v>5050.50505050505</v>
      </c>
    </row>
    <row r="77" spans="1:6">
      <c r="A77" s="1">
        <v>160</v>
      </c>
      <c r="C77" s="1">
        <v>0.1</v>
      </c>
      <c r="D77" s="4">
        <v>23</v>
      </c>
      <c r="E77" s="2">
        <f t="shared" si="3"/>
        <v>4.34782608695652</v>
      </c>
      <c r="F77" s="5">
        <f t="shared" si="4"/>
        <v>4347.82608695652</v>
      </c>
    </row>
    <row r="78" spans="1:6">
      <c r="A78" s="1">
        <v>150</v>
      </c>
      <c r="C78" s="1">
        <v>0.1</v>
      </c>
      <c r="D78" s="4">
        <v>14.3</v>
      </c>
      <c r="E78" s="2">
        <f t="shared" si="3"/>
        <v>6.99300699300699</v>
      </c>
      <c r="F78" s="5">
        <f t="shared" si="4"/>
        <v>6993.00699300699</v>
      </c>
    </row>
    <row r="79" spans="1:6">
      <c r="A79" s="1">
        <v>150</v>
      </c>
      <c r="C79" s="1">
        <v>0.1</v>
      </c>
      <c r="D79" s="4">
        <v>16.5</v>
      </c>
      <c r="E79" s="2">
        <f t="shared" si="3"/>
        <v>6.06060606060606</v>
      </c>
      <c r="F79" s="5">
        <f t="shared" si="4"/>
        <v>6060.60606060606</v>
      </c>
    </row>
    <row r="80" spans="1:6">
      <c r="A80" s="1">
        <v>150</v>
      </c>
      <c r="C80" s="1">
        <v>0.1</v>
      </c>
      <c r="D80" s="4">
        <v>15.1</v>
      </c>
      <c r="E80" s="2">
        <f t="shared" si="3"/>
        <v>6.62251655629139</v>
      </c>
      <c r="F80" s="5">
        <f t="shared" si="4"/>
        <v>6622.51655629139</v>
      </c>
    </row>
    <row r="81" spans="1:6">
      <c r="A81" s="1">
        <v>150</v>
      </c>
      <c r="C81" s="1">
        <v>0.1</v>
      </c>
      <c r="D81" s="4">
        <v>16.7</v>
      </c>
      <c r="E81" s="2">
        <f t="shared" si="3"/>
        <v>5.98802395209581</v>
      </c>
      <c r="F81" s="5">
        <f t="shared" si="4"/>
        <v>5988.02395209581</v>
      </c>
    </row>
    <row r="82" spans="1:6">
      <c r="A82" s="1">
        <v>150</v>
      </c>
      <c r="C82" s="1">
        <v>0.1</v>
      </c>
      <c r="D82" s="4">
        <v>13</v>
      </c>
      <c r="E82" s="2">
        <f t="shared" si="3"/>
        <v>7.69230769230769</v>
      </c>
      <c r="F82" s="5">
        <f t="shared" si="4"/>
        <v>7692.30769230769</v>
      </c>
    </row>
    <row r="83" spans="1:6">
      <c r="E83" s="1"/>
      <c r="F83" s="5">
        <f t="shared" si="4"/>
        <v>0</v>
      </c>
    </row>
    <row r="84" spans="1:6">
      <c r="A84" s="1">
        <v>140</v>
      </c>
      <c r="C84" s="1">
        <v>0.1</v>
      </c>
      <c r="D84" s="4">
        <v>12.7</v>
      </c>
      <c r="E84" s="2">
        <f t="shared" ref="E84:E108" si="5">C84/(D84*0.000001)/1000</f>
        <v>7.8740157480315</v>
      </c>
      <c r="F84" s="5">
        <f t="shared" si="4"/>
        <v>7874.0157480315</v>
      </c>
    </row>
    <row r="85" spans="1:6">
      <c r="A85" s="1">
        <v>140</v>
      </c>
      <c r="C85" s="1">
        <v>0.1</v>
      </c>
      <c r="D85" s="4">
        <v>10.6</v>
      </c>
      <c r="E85" s="2">
        <f t="shared" si="5"/>
        <v>9.43396226415095</v>
      </c>
      <c r="F85" s="5">
        <f t="shared" si="4"/>
        <v>9433.96226415094</v>
      </c>
    </row>
    <row r="86" spans="1:6">
      <c r="A86" s="1">
        <v>140</v>
      </c>
      <c r="C86" s="1">
        <v>0.1</v>
      </c>
      <c r="D86" s="4">
        <v>11.6</v>
      </c>
      <c r="E86" s="2">
        <f t="shared" si="5"/>
        <v>8.62068965517241</v>
      </c>
      <c r="F86" s="5">
        <f t="shared" si="4"/>
        <v>8620.68965517241</v>
      </c>
    </row>
    <row r="87" spans="1:6">
      <c r="A87" s="1">
        <v>140</v>
      </c>
      <c r="C87" s="1">
        <v>0.1</v>
      </c>
      <c r="D87" s="4">
        <v>12.4</v>
      </c>
      <c r="E87" s="2">
        <f t="shared" si="5"/>
        <v>8.06451612903226</v>
      </c>
      <c r="F87" s="5">
        <f t="shared" si="4"/>
        <v>8064.51612903226</v>
      </c>
    </row>
    <row r="88" spans="1:6">
      <c r="A88" s="1">
        <v>140</v>
      </c>
      <c r="C88" s="1">
        <v>0.1</v>
      </c>
      <c r="D88" s="4">
        <v>12.7</v>
      </c>
      <c r="E88" s="2">
        <f t="shared" si="5"/>
        <v>7.8740157480315</v>
      </c>
      <c r="F88" s="5">
        <f t="shared" si="4"/>
        <v>7874.0157480315</v>
      </c>
    </row>
    <row r="89" spans="1:6">
      <c r="A89" s="1">
        <v>130</v>
      </c>
      <c r="C89" s="1">
        <v>0.1</v>
      </c>
      <c r="D89" s="4">
        <v>12.3</v>
      </c>
      <c r="E89" s="2">
        <f t="shared" si="5"/>
        <v>8.13008130081301</v>
      </c>
      <c r="F89" s="5">
        <f t="shared" si="4"/>
        <v>8130.08130081301</v>
      </c>
    </row>
    <row r="90" spans="1:6">
      <c r="A90" s="1">
        <v>130</v>
      </c>
      <c r="C90" s="1">
        <v>0.1</v>
      </c>
      <c r="D90" s="4">
        <v>12.1</v>
      </c>
      <c r="E90" s="2">
        <f t="shared" si="5"/>
        <v>8.26446280991736</v>
      </c>
      <c r="F90" s="5">
        <f t="shared" si="4"/>
        <v>8264.46280991736</v>
      </c>
    </row>
    <row r="91" spans="1:6">
      <c r="A91" s="1">
        <v>130</v>
      </c>
      <c r="C91" s="1">
        <v>0.1</v>
      </c>
      <c r="D91" s="4">
        <v>12.3</v>
      </c>
      <c r="E91" s="2">
        <f t="shared" si="5"/>
        <v>8.13008130081301</v>
      </c>
      <c r="F91" s="5">
        <f t="shared" si="4"/>
        <v>8130.08130081301</v>
      </c>
    </row>
    <row r="92" spans="1:6">
      <c r="A92" s="1">
        <v>130</v>
      </c>
      <c r="C92" s="1">
        <v>0.1</v>
      </c>
      <c r="D92" s="4">
        <v>10.3</v>
      </c>
      <c r="E92" s="2">
        <f t="shared" si="5"/>
        <v>9.70873786407767</v>
      </c>
      <c r="F92" s="5">
        <f t="shared" si="4"/>
        <v>9708.73786407767</v>
      </c>
    </row>
    <row r="93" spans="1:6">
      <c r="A93" s="1">
        <v>130</v>
      </c>
      <c r="C93" s="1">
        <v>0.1</v>
      </c>
      <c r="D93" s="4">
        <v>11.2</v>
      </c>
      <c r="E93" s="2">
        <f t="shared" si="5"/>
        <v>8.92857142857143</v>
      </c>
      <c r="F93" s="5">
        <f t="shared" si="4"/>
        <v>8928.57142857143</v>
      </c>
    </row>
    <row r="94" spans="1:6">
      <c r="A94" s="1">
        <v>120</v>
      </c>
      <c r="C94" s="1">
        <v>0.1</v>
      </c>
      <c r="D94" s="4">
        <v>10.9</v>
      </c>
      <c r="E94" s="2">
        <f t="shared" si="5"/>
        <v>9.1743119266055</v>
      </c>
      <c r="F94" s="5">
        <f t="shared" si="4"/>
        <v>9174.3119266055</v>
      </c>
    </row>
    <row r="95" spans="1:6">
      <c r="A95" s="1">
        <v>120</v>
      </c>
      <c r="C95" s="1">
        <v>0.1</v>
      </c>
      <c r="D95" s="4">
        <v>9.8</v>
      </c>
      <c r="E95" s="2">
        <f t="shared" si="5"/>
        <v>10.2040816326531</v>
      </c>
      <c r="F95" s="5">
        <f t="shared" si="4"/>
        <v>10204.0816326531</v>
      </c>
    </row>
    <row r="96" spans="1:6">
      <c r="A96" s="1">
        <v>120</v>
      </c>
      <c r="C96" s="1">
        <v>0.1</v>
      </c>
      <c r="D96" s="4">
        <v>11.8</v>
      </c>
      <c r="E96" s="2">
        <f t="shared" si="5"/>
        <v>8.47457627118644</v>
      </c>
      <c r="F96" s="5">
        <f t="shared" si="4"/>
        <v>8474.57627118644</v>
      </c>
    </row>
    <row r="97" spans="1:6">
      <c r="A97" s="1">
        <v>120</v>
      </c>
      <c r="C97" s="1">
        <v>0.1</v>
      </c>
      <c r="D97" s="4">
        <v>11.9</v>
      </c>
      <c r="E97" s="2">
        <f t="shared" si="5"/>
        <v>8.40336134453782</v>
      </c>
      <c r="F97" s="5">
        <f t="shared" si="4"/>
        <v>8403.36134453782</v>
      </c>
    </row>
    <row r="98" spans="1:6">
      <c r="A98" s="1">
        <v>120</v>
      </c>
      <c r="C98" s="1">
        <v>0.1</v>
      </c>
      <c r="D98" s="4">
        <v>8.8</v>
      </c>
      <c r="E98" s="2">
        <f t="shared" si="5"/>
        <v>11.3636363636364</v>
      </c>
      <c r="F98" s="5">
        <f t="shared" si="4"/>
        <v>11363.6363636364</v>
      </c>
    </row>
    <row r="99" spans="1:6">
      <c r="A99" s="1">
        <v>110</v>
      </c>
      <c r="C99" s="1">
        <v>0.1</v>
      </c>
      <c r="D99" s="4">
        <v>8.7</v>
      </c>
      <c r="E99" s="2">
        <f t="shared" si="5"/>
        <v>11.4942528735632</v>
      </c>
      <c r="F99" s="5">
        <f t="shared" si="4"/>
        <v>11494.2528735632</v>
      </c>
    </row>
    <row r="100" spans="1:6">
      <c r="A100" s="1">
        <v>110</v>
      </c>
      <c r="C100" s="1">
        <v>0.1</v>
      </c>
      <c r="D100" s="4">
        <v>8</v>
      </c>
      <c r="E100" s="2">
        <f t="shared" si="5"/>
        <v>12.5</v>
      </c>
      <c r="F100" s="5">
        <f t="shared" si="4"/>
        <v>12500</v>
      </c>
    </row>
    <row r="101" spans="1:6">
      <c r="A101" s="1">
        <v>110</v>
      </c>
      <c r="C101" s="1">
        <v>0.1</v>
      </c>
      <c r="D101" s="4">
        <v>8</v>
      </c>
      <c r="E101" s="2">
        <f t="shared" si="5"/>
        <v>12.5</v>
      </c>
      <c r="F101" s="5">
        <f t="shared" si="4"/>
        <v>12500</v>
      </c>
    </row>
    <row r="102" spans="1:6">
      <c r="A102" s="1">
        <v>110</v>
      </c>
      <c r="C102" s="1">
        <v>0.1</v>
      </c>
      <c r="D102" s="4">
        <v>9</v>
      </c>
      <c r="E102" s="2">
        <f t="shared" si="5"/>
        <v>11.1111111111111</v>
      </c>
      <c r="F102" s="5">
        <f t="shared" si="4"/>
        <v>11111.1111111111</v>
      </c>
    </row>
    <row r="103" spans="1:6">
      <c r="A103" s="1">
        <v>110</v>
      </c>
      <c r="C103" s="1">
        <v>0.1</v>
      </c>
      <c r="D103" s="4">
        <v>8.3</v>
      </c>
      <c r="E103" s="2">
        <f t="shared" si="5"/>
        <v>12.0481927710843</v>
      </c>
      <c r="F103" s="5">
        <f t="shared" si="4"/>
        <v>12048.1927710843</v>
      </c>
    </row>
    <row r="104" spans="1:6">
      <c r="A104" s="1">
        <v>100</v>
      </c>
      <c r="C104" s="1">
        <v>0.1</v>
      </c>
      <c r="D104" s="4">
        <v>8.3</v>
      </c>
      <c r="E104" s="2">
        <f t="shared" si="5"/>
        <v>12.0481927710843</v>
      </c>
      <c r="F104" s="5">
        <f t="shared" si="4"/>
        <v>12048.1927710843</v>
      </c>
    </row>
    <row r="105" spans="1:6">
      <c r="A105" s="1">
        <v>100</v>
      </c>
      <c r="C105" s="1">
        <v>0.1</v>
      </c>
      <c r="D105" s="4">
        <v>6.9</v>
      </c>
      <c r="E105" s="2">
        <f t="shared" si="5"/>
        <v>14.4927536231884</v>
      </c>
      <c r="F105" s="5">
        <f t="shared" si="4"/>
        <v>14492.7536231884</v>
      </c>
    </row>
    <row r="106" spans="1:6">
      <c r="A106" s="1">
        <v>100</v>
      </c>
      <c r="C106" s="1">
        <v>0.1</v>
      </c>
      <c r="D106" s="4">
        <v>6.4</v>
      </c>
      <c r="E106" s="2">
        <f t="shared" si="5"/>
        <v>15.625</v>
      </c>
      <c r="F106" s="5">
        <f t="shared" si="4"/>
        <v>15625</v>
      </c>
    </row>
    <row r="107" spans="1:6">
      <c r="A107" s="1">
        <v>100</v>
      </c>
      <c r="C107" s="1">
        <v>0.1</v>
      </c>
      <c r="D107" s="4">
        <v>6.4</v>
      </c>
      <c r="E107" s="2">
        <f t="shared" si="5"/>
        <v>15.625</v>
      </c>
      <c r="F107" s="5">
        <f t="shared" si="4"/>
        <v>15625</v>
      </c>
    </row>
    <row r="108" spans="1:6">
      <c r="A108" s="1">
        <v>100</v>
      </c>
      <c r="C108" s="1">
        <v>0.1</v>
      </c>
      <c r="D108" s="4">
        <v>7.4</v>
      </c>
      <c r="E108" s="2">
        <f t="shared" si="5"/>
        <v>13.5135135135135</v>
      </c>
      <c r="F108" s="5">
        <f t="shared" si="4"/>
        <v>13513.5135135135</v>
      </c>
    </row>
    <row r="109" spans="1:6">
      <c r="D109" s="4"/>
      <c r="F109" s="5"/>
    </row>
    <row r="110" spans="1:6">
      <c r="D110" s="4"/>
      <c r="F110" s="5"/>
    </row>
    <row r="111" spans="1:6">
      <c r="D111" s="4"/>
    </row>
    <row r="112" spans="1:6">
      <c r="D112" s="4"/>
    </row>
    <row r="113" spans="4:6">
      <c r="D113" s="4"/>
    </row>
    <row r="114" spans="4:6">
      <c r="D114" s="4"/>
      <c r="F114" s="5"/>
    </row>
    <row r="115" spans="4:6">
      <c r="D115" s="4"/>
      <c r="F115" s="5"/>
    </row>
    <row r="116" spans="4:6">
      <c r="D116" s="4"/>
      <c r="F116" s="5"/>
    </row>
    <row r="117" spans="4:6">
      <c r="D117" s="4"/>
      <c r="F117" s="5"/>
    </row>
    <row r="118" spans="4:6">
      <c r="D118" s="4"/>
      <c r="F118" s="5"/>
    </row>
    <row r="119" spans="4:6">
      <c r="D119" s="4"/>
      <c r="F119" s="5"/>
    </row>
    <row r="120" spans="4:6">
      <c r="D120" s="4"/>
      <c r="F120" s="5"/>
    </row>
    <row r="121" spans="4:6">
      <c r="D121" s="4"/>
      <c r="F121" s="5"/>
    </row>
    <row r="122" spans="4:6">
      <c r="D122" s="4"/>
      <c r="F122" s="5"/>
    </row>
    <row r="123" spans="4:6">
      <c r="D123" s="4"/>
      <c r="F123" s="5"/>
    </row>
    <row r="124" spans="4:6">
      <c r="D124" s="4"/>
      <c r="F124" s="5"/>
    </row>
    <row r="125" spans="4:6">
      <c r="D125" s="4"/>
      <c r="F125" s="5"/>
    </row>
    <row r="126" spans="4:6">
      <c r="D126" s="4"/>
      <c r="F126" s="5"/>
    </row>
    <row r="127" spans="4:6">
      <c r="D127" s="4"/>
      <c r="F127" s="5"/>
    </row>
    <row r="128" spans="4:6">
      <c r="F128" s="5"/>
    </row>
    <row r="129" spans="4:42">
      <c r="D129" s="4"/>
      <c r="F129" s="5"/>
    </row>
    <row r="130" spans="4:42">
      <c r="D130" s="4"/>
    </row>
    <row r="131" spans="4:42">
      <c r="D131" s="4"/>
    </row>
    <row r="132" spans="4:42">
      <c r="D132" s="4"/>
    </row>
    <row r="133" spans="4:42">
      <c r="D133" s="4"/>
      <c r="F133" s="5"/>
    </row>
    <row r="134" spans="4:42">
      <c r="D134" s="4"/>
      <c r="F134" s="5"/>
    </row>
    <row r="135" spans="4:42">
      <c r="D135" s="4"/>
      <c r="F135" s="5"/>
    </row>
    <row r="136" spans="4:42">
      <c r="D136" s="4"/>
      <c r="F136" s="5"/>
    </row>
    <row r="137" spans="4:42">
      <c r="D137" s="4"/>
      <c r="F137" s="5"/>
    </row>
    <row r="138" spans="4:42">
      <c r="D138" s="4"/>
      <c r="F138" s="5"/>
    </row>
    <row r="139" spans="4:42">
      <c r="D139" s="4"/>
      <c r="F139" s="5"/>
    </row>
    <row r="140" spans="4:42">
      <c r="D140" s="4"/>
      <c r="F140" s="5"/>
      <c r="U140" s="3"/>
      <c r="AB140" s="3"/>
      <c r="AI140" s="3"/>
      <c r="AP140" s="3"/>
    </row>
    <row r="141" spans="4:42">
      <c r="D141" s="4"/>
      <c r="F141" s="5"/>
    </row>
    <row r="142" spans="4:42">
      <c r="D142" s="4"/>
      <c r="F142" s="5"/>
    </row>
    <row r="143" spans="4:42">
      <c r="F143" s="5"/>
    </row>
    <row r="144" spans="4:42">
      <c r="D144" s="4"/>
      <c r="F144" s="5"/>
    </row>
    <row r="145" spans="4:35">
      <c r="D145" s="4"/>
      <c r="F145" s="5"/>
    </row>
    <row r="146" spans="4:35">
      <c r="D146" s="4"/>
      <c r="F146" s="5"/>
      <c r="U146" s="3"/>
      <c r="AB146" s="3"/>
      <c r="AI146" s="3"/>
    </row>
    <row r="147" spans="4:35">
      <c r="D147" s="4"/>
      <c r="F147" s="5"/>
      <c r="R147" s="8"/>
    </row>
    <row r="148" spans="4:35">
      <c r="D148" s="4"/>
      <c r="F148" s="5"/>
    </row>
    <row r="149" spans="4:35">
      <c r="D149" s="4"/>
    </row>
    <row r="150" spans="4:35">
      <c r="D150" s="4"/>
    </row>
    <row r="151" spans="4:35">
      <c r="D151" s="4"/>
    </row>
    <row r="152" spans="4:35">
      <c r="D152" s="4"/>
    </row>
    <row r="153" spans="4:35">
      <c r="D153" s="4"/>
    </row>
    <row r="154" spans="4:35">
      <c r="D154" s="4"/>
    </row>
    <row r="155" spans="4:35">
      <c r="D155" s="4"/>
    </row>
    <row r="156" spans="4:35">
      <c r="D156" s="4"/>
    </row>
    <row r="157" spans="4:35">
      <c r="D157" s="4"/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57"/>
  <sheetViews>
    <sheetView workbookViewId="0">
      <selection activeCell="F67" sqref="F$1:F$1048576"/>
    </sheetView>
  </sheetViews>
  <sheetFormatPr defaultColWidth="8.54464285714286" defaultRowHeight="16.8"/>
  <cols>
    <col min="1" max="1" width="20.1428571428571" style="1" customWidth="1"/>
    <col min="3" max="3" width="10.8482142857143" style="1" customWidth="1"/>
    <col min="4" max="4" width="11" style="1" customWidth="1"/>
    <col min="5" max="5" width="16.8392857142857" style="2" customWidth="1"/>
    <col min="6" max="6" width="18.1428571428571" style="1" customWidth="1"/>
    <col min="9" max="9" width="16.4285714285714" style="1" customWidth="1"/>
    <col min="11" max="11" width="10.1428571428571" style="1" customWidth="1"/>
    <col min="17" max="17" width="9.14285714285714" style="1" customWidth="1"/>
    <col min="16379" max="16384" width="11.5267857142857" style="1" customWidth="1"/>
  </cols>
  <sheetData>
    <row r="1" spans="1:14">
      <c r="A1" s="3" t="s">
        <v>0</v>
      </c>
      <c r="C1" s="1" t="s">
        <v>1</v>
      </c>
      <c r="D1" s="1" t="s">
        <v>2</v>
      </c>
      <c r="E1" s="2" t="s">
        <v>3</v>
      </c>
    </row>
    <row r="2" spans="1:14">
      <c r="A2" s="1" t="s">
        <v>4</v>
      </c>
      <c r="C2" s="1">
        <v>0.001</v>
      </c>
      <c r="D2" s="4">
        <v>105</v>
      </c>
      <c r="E2" s="2">
        <f>C2/(D2*0.000001)/1000</f>
        <v>0.00952380952380952</v>
      </c>
      <c r="F2" s="5">
        <f>E2*1000</f>
        <v>9.52380952380953</v>
      </c>
    </row>
    <row r="3" spans="1:14">
      <c r="A3" s="1" t="s">
        <v>5</v>
      </c>
      <c r="C3" s="1">
        <v>0.1</v>
      </c>
      <c r="D3" s="4">
        <v>0.011</v>
      </c>
      <c r="E3" s="2">
        <f>C3/(D3*0.000001)/1000</f>
        <v>9090.90909090909</v>
      </c>
      <c r="F3" s="5">
        <f t="shared" ref="F3:F34" si="0">E3*1000</f>
        <v>9090909.09090909</v>
      </c>
      <c r="G3" s="1"/>
    </row>
    <row r="4" spans="1:14">
      <c r="D4" s="4"/>
      <c r="F4" s="5">
        <f t="shared" si="0"/>
        <v>0</v>
      </c>
    </row>
    <row r="5" spans="1:14">
      <c r="D5" s="4"/>
      <c r="E5" s="6"/>
      <c r="F5" s="5">
        <f t="shared" si="0"/>
        <v>0</v>
      </c>
    </row>
    <row r="6" spans="1:14">
      <c r="A6" s="1">
        <v>290</v>
      </c>
      <c r="C6" s="1">
        <v>0.2</v>
      </c>
      <c r="D6" s="4">
        <v>87.2</v>
      </c>
      <c r="E6" s="2">
        <f t="shared" ref="E6:E30" si="1">C6/(D6*0.000001)/1000</f>
        <v>2.29357798165138</v>
      </c>
      <c r="F6" s="5">
        <f t="shared" si="0"/>
        <v>2293.57798165138</v>
      </c>
      <c r="K6" s="7"/>
      <c r="L6" s="7"/>
      <c r="M6" s="7"/>
      <c r="N6" s="7"/>
    </row>
    <row r="7" spans="1:14">
      <c r="A7" s="1">
        <v>290</v>
      </c>
      <c r="C7" s="1">
        <v>0.2</v>
      </c>
      <c r="D7" s="4">
        <v>80.2</v>
      </c>
      <c r="E7" s="2">
        <f t="shared" si="1"/>
        <v>2.49376558603491</v>
      </c>
      <c r="F7" s="5">
        <f t="shared" si="0"/>
        <v>2493.76558603491</v>
      </c>
    </row>
    <row r="8" spans="1:14">
      <c r="A8" s="1">
        <v>290</v>
      </c>
      <c r="C8" s="1">
        <v>0.2</v>
      </c>
      <c r="D8" s="4">
        <v>59.2</v>
      </c>
      <c r="E8" s="2">
        <f t="shared" si="1"/>
        <v>3.37837837837838</v>
      </c>
      <c r="F8" s="5">
        <f t="shared" si="0"/>
        <v>3378.37837837838</v>
      </c>
    </row>
    <row r="9" spans="1:14">
      <c r="A9" s="1">
        <v>290</v>
      </c>
      <c r="C9" s="1">
        <v>0.2</v>
      </c>
      <c r="D9" s="4">
        <v>59.6</v>
      </c>
      <c r="E9" s="2">
        <f t="shared" si="1"/>
        <v>3.35570469798658</v>
      </c>
      <c r="F9" s="5">
        <f t="shared" si="0"/>
        <v>3355.70469798658</v>
      </c>
    </row>
    <row r="10" spans="1:14">
      <c r="A10" s="1">
        <v>290</v>
      </c>
      <c r="C10" s="1">
        <v>0.2</v>
      </c>
      <c r="D10" s="4">
        <v>37</v>
      </c>
      <c r="E10" s="2">
        <f t="shared" si="1"/>
        <v>5.40540540540541</v>
      </c>
      <c r="F10" s="5">
        <f t="shared" si="0"/>
        <v>5405.40540540541</v>
      </c>
    </row>
    <row r="11" spans="1:14">
      <c r="A11" s="1">
        <v>280</v>
      </c>
      <c r="C11" s="1">
        <v>0.2</v>
      </c>
      <c r="D11" s="4">
        <v>79.2</v>
      </c>
      <c r="E11" s="2">
        <f t="shared" si="1"/>
        <v>2.52525252525252</v>
      </c>
      <c r="F11" s="5">
        <f t="shared" si="0"/>
        <v>2525.25252525253</v>
      </c>
    </row>
    <row r="12" spans="1:14">
      <c r="A12" s="1">
        <v>280</v>
      </c>
      <c r="C12" s="1">
        <v>0.2</v>
      </c>
      <c r="D12" s="4">
        <v>75.8</v>
      </c>
      <c r="E12" s="2">
        <f t="shared" si="1"/>
        <v>2.63852242744063</v>
      </c>
      <c r="F12" s="5">
        <f t="shared" si="0"/>
        <v>2638.52242744063</v>
      </c>
    </row>
    <row r="13" spans="1:14">
      <c r="A13" s="1">
        <v>280</v>
      </c>
      <c r="C13" s="1">
        <v>0.2</v>
      </c>
      <c r="D13" s="4">
        <v>53.4</v>
      </c>
      <c r="E13" s="2">
        <f t="shared" si="1"/>
        <v>3.74531835205993</v>
      </c>
      <c r="F13" s="5">
        <f t="shared" si="0"/>
        <v>3745.31835205993</v>
      </c>
    </row>
    <row r="14" spans="1:14">
      <c r="A14" s="1">
        <v>280</v>
      </c>
      <c r="C14" s="1">
        <v>0.2</v>
      </c>
      <c r="D14" s="4">
        <v>80.9</v>
      </c>
      <c r="E14" s="2">
        <f t="shared" si="1"/>
        <v>2.47218788627936</v>
      </c>
      <c r="F14" s="5">
        <f t="shared" si="0"/>
        <v>2472.18788627936</v>
      </c>
    </row>
    <row r="15" spans="1:14">
      <c r="A15" s="1">
        <v>280</v>
      </c>
      <c r="C15" s="1">
        <v>0.2</v>
      </c>
      <c r="D15" s="4">
        <v>81.5</v>
      </c>
      <c r="E15" s="2">
        <f t="shared" si="1"/>
        <v>2.45398773006135</v>
      </c>
      <c r="F15" s="5">
        <f t="shared" si="0"/>
        <v>2453.98773006135</v>
      </c>
    </row>
    <row r="16" spans="1:14">
      <c r="A16" s="1">
        <v>270</v>
      </c>
      <c r="C16" s="1">
        <v>0.2</v>
      </c>
      <c r="D16" s="4">
        <v>46.4</v>
      </c>
      <c r="E16" s="2">
        <f t="shared" si="1"/>
        <v>4.31034482758621</v>
      </c>
      <c r="F16" s="5">
        <f t="shared" si="0"/>
        <v>4310.34482758621</v>
      </c>
    </row>
    <row r="17" spans="1:6">
      <c r="A17" s="1">
        <v>270</v>
      </c>
      <c r="C17" s="1">
        <v>0.2</v>
      </c>
      <c r="D17" s="4">
        <v>65.4</v>
      </c>
      <c r="E17" s="2">
        <f t="shared" si="1"/>
        <v>3.05810397553517</v>
      </c>
      <c r="F17" s="5">
        <f t="shared" si="0"/>
        <v>3058.10397553517</v>
      </c>
    </row>
    <row r="18" spans="1:6">
      <c r="A18" s="1">
        <v>270</v>
      </c>
      <c r="C18" s="1">
        <v>0.2</v>
      </c>
      <c r="D18" s="4">
        <v>66.8</v>
      </c>
      <c r="E18" s="2">
        <f t="shared" si="1"/>
        <v>2.9940119760479</v>
      </c>
      <c r="F18" s="5">
        <f t="shared" si="0"/>
        <v>2994.0119760479</v>
      </c>
    </row>
    <row r="19" spans="1:6">
      <c r="A19" s="1">
        <v>270</v>
      </c>
      <c r="C19" s="1">
        <v>0.2</v>
      </c>
      <c r="D19" s="4">
        <v>42.7</v>
      </c>
      <c r="E19" s="2">
        <f t="shared" si="1"/>
        <v>4.68384074941452</v>
      </c>
      <c r="F19" s="5">
        <f t="shared" si="0"/>
        <v>4683.84074941452</v>
      </c>
    </row>
    <row r="20" spans="1:6">
      <c r="A20" s="1">
        <v>270</v>
      </c>
      <c r="C20" s="1">
        <v>0.2</v>
      </c>
      <c r="D20" s="4">
        <v>75.2</v>
      </c>
      <c r="E20" s="2">
        <f t="shared" si="1"/>
        <v>2.65957446808511</v>
      </c>
      <c r="F20" s="5">
        <f t="shared" si="0"/>
        <v>2659.57446808511</v>
      </c>
    </row>
    <row r="21" spans="1:6">
      <c r="A21" s="1">
        <v>260</v>
      </c>
      <c r="C21" s="1">
        <v>0.2</v>
      </c>
      <c r="D21" s="4">
        <v>64.5</v>
      </c>
      <c r="E21" s="2">
        <f t="shared" si="1"/>
        <v>3.10077519379845</v>
      </c>
      <c r="F21" s="5">
        <f t="shared" si="0"/>
        <v>3100.77519379845</v>
      </c>
    </row>
    <row r="22" spans="1:6">
      <c r="A22" s="1">
        <v>260</v>
      </c>
      <c r="C22" s="1">
        <v>0.2</v>
      </c>
      <c r="D22" s="4">
        <v>70.4</v>
      </c>
      <c r="E22" s="2">
        <f t="shared" si="1"/>
        <v>2.84090909090909</v>
      </c>
      <c r="F22" s="5">
        <f t="shared" si="0"/>
        <v>2840.90909090909</v>
      </c>
    </row>
    <row r="23" spans="1:6">
      <c r="A23" s="1">
        <v>260</v>
      </c>
      <c r="C23" s="1">
        <v>0.2</v>
      </c>
      <c r="D23" s="4">
        <v>63.5</v>
      </c>
      <c r="E23" s="2">
        <f t="shared" si="1"/>
        <v>3.1496062992126</v>
      </c>
      <c r="F23" s="5">
        <f t="shared" si="0"/>
        <v>3149.6062992126</v>
      </c>
    </row>
    <row r="24" spans="1:6">
      <c r="A24" s="1">
        <v>260</v>
      </c>
      <c r="C24" s="1">
        <v>0.2</v>
      </c>
      <c r="D24" s="4">
        <v>38.7</v>
      </c>
      <c r="E24" s="2">
        <f t="shared" si="1"/>
        <v>5.16795865633075</v>
      </c>
      <c r="F24" s="5">
        <f t="shared" si="0"/>
        <v>5167.95865633075</v>
      </c>
    </row>
    <row r="25" spans="1:6">
      <c r="A25" s="1">
        <v>260</v>
      </c>
      <c r="C25" s="1">
        <v>0.2</v>
      </c>
      <c r="D25" s="4">
        <v>69.4</v>
      </c>
      <c r="E25" s="2">
        <f t="shared" si="1"/>
        <v>2.88184438040346</v>
      </c>
      <c r="F25" s="5">
        <f t="shared" si="0"/>
        <v>2881.84438040346</v>
      </c>
    </row>
    <row r="26" spans="1:6">
      <c r="A26" s="1">
        <v>250</v>
      </c>
      <c r="C26" s="1">
        <v>0.2</v>
      </c>
      <c r="D26" s="4">
        <v>61.6</v>
      </c>
      <c r="E26" s="2">
        <f t="shared" si="1"/>
        <v>3.24675324675325</v>
      </c>
      <c r="F26" s="5">
        <f t="shared" si="0"/>
        <v>3246.75324675325</v>
      </c>
    </row>
    <row r="27" spans="1:6">
      <c r="A27" s="1">
        <v>250</v>
      </c>
      <c r="C27" s="1">
        <v>0.2</v>
      </c>
      <c r="D27" s="4">
        <v>47.4</v>
      </c>
      <c r="E27" s="2">
        <f t="shared" si="1"/>
        <v>4.21940928270042</v>
      </c>
      <c r="F27" s="5">
        <f t="shared" si="0"/>
        <v>4219.40928270042</v>
      </c>
    </row>
    <row r="28" spans="1:6">
      <c r="A28" s="1">
        <v>250</v>
      </c>
      <c r="C28" s="1">
        <v>0.2</v>
      </c>
      <c r="D28" s="4">
        <v>64.7</v>
      </c>
      <c r="E28" s="2">
        <f t="shared" si="1"/>
        <v>3.09119010819165</v>
      </c>
      <c r="F28" s="5">
        <f t="shared" si="0"/>
        <v>3091.19010819165</v>
      </c>
    </row>
    <row r="29" spans="1:6">
      <c r="A29" s="1">
        <v>250</v>
      </c>
      <c r="C29" s="1">
        <v>0.2</v>
      </c>
      <c r="D29" s="4">
        <v>49.4</v>
      </c>
      <c r="E29" s="2">
        <f t="shared" si="1"/>
        <v>4.04858299595142</v>
      </c>
      <c r="F29" s="5">
        <f t="shared" si="0"/>
        <v>4048.58299595142</v>
      </c>
    </row>
    <row r="30" spans="1:6">
      <c r="A30" s="1">
        <v>250</v>
      </c>
      <c r="C30" s="1">
        <v>0.2</v>
      </c>
      <c r="D30" s="4">
        <v>63.5</v>
      </c>
      <c r="E30" s="2">
        <f t="shared" si="1"/>
        <v>3.1496062992126</v>
      </c>
      <c r="F30" s="5">
        <f t="shared" si="0"/>
        <v>3149.6062992126</v>
      </c>
    </row>
    <row r="31" spans="1:6">
      <c r="E31" s="1"/>
      <c r="F31" s="5">
        <f t="shared" si="0"/>
        <v>0</v>
      </c>
    </row>
    <row r="32" spans="1:6">
      <c r="A32" s="1">
        <v>240</v>
      </c>
      <c r="C32" s="1">
        <v>0.2</v>
      </c>
      <c r="D32" s="4">
        <v>61.4</v>
      </c>
      <c r="E32" s="2">
        <f t="shared" ref="E32:E56" si="2">C32/(D32*0.000001)/1000</f>
        <v>3.25732899022801</v>
      </c>
      <c r="F32" s="5">
        <f t="shared" si="0"/>
        <v>3257.32899022801</v>
      </c>
    </row>
    <row r="33" spans="1:6">
      <c r="A33" s="1">
        <v>240</v>
      </c>
      <c r="C33" s="1">
        <v>0.2</v>
      </c>
      <c r="D33" s="4">
        <v>44.9</v>
      </c>
      <c r="E33" s="2">
        <f t="shared" si="2"/>
        <v>4.4543429844098</v>
      </c>
      <c r="F33" s="5">
        <f t="shared" si="0"/>
        <v>4454.3429844098</v>
      </c>
    </row>
    <row r="34" spans="1:6">
      <c r="A34" s="1">
        <v>240</v>
      </c>
      <c r="C34" s="1">
        <v>0.2</v>
      </c>
      <c r="D34" s="4">
        <v>61.9</v>
      </c>
      <c r="E34" s="2">
        <f t="shared" si="2"/>
        <v>3.23101777059774</v>
      </c>
      <c r="F34" s="5">
        <f t="shared" si="0"/>
        <v>3231.01777059774</v>
      </c>
    </row>
    <row r="35" spans="1:6">
      <c r="A35" s="1">
        <v>240</v>
      </c>
      <c r="C35" s="1">
        <v>0.2</v>
      </c>
      <c r="D35" s="4">
        <v>59.5</v>
      </c>
      <c r="E35" s="2">
        <f t="shared" si="2"/>
        <v>3.36134453781513</v>
      </c>
      <c r="F35" s="5">
        <f t="shared" ref="F35:F66" si="3">E35*1000</f>
        <v>3361.34453781513</v>
      </c>
    </row>
    <row r="36" spans="1:6">
      <c r="A36" s="1">
        <v>240</v>
      </c>
      <c r="C36" s="1">
        <v>0.2</v>
      </c>
      <c r="D36" s="4">
        <v>52.6</v>
      </c>
      <c r="E36" s="2">
        <f t="shared" si="2"/>
        <v>3.80228136882129</v>
      </c>
      <c r="F36" s="5">
        <f t="shared" si="3"/>
        <v>3802.28136882129</v>
      </c>
    </row>
    <row r="37" spans="1:6">
      <c r="A37" s="1">
        <v>230</v>
      </c>
      <c r="C37" s="1">
        <v>0.2</v>
      </c>
      <c r="D37" s="4">
        <v>44.3</v>
      </c>
      <c r="E37" s="2">
        <f t="shared" si="2"/>
        <v>4.51467268623025</v>
      </c>
      <c r="F37" s="5">
        <f t="shared" si="3"/>
        <v>4514.67268623025</v>
      </c>
    </row>
    <row r="38" spans="1:6">
      <c r="A38" s="1">
        <v>230</v>
      </c>
      <c r="C38" s="1">
        <v>0.2</v>
      </c>
      <c r="D38" s="4">
        <v>50.3</v>
      </c>
      <c r="E38" s="2">
        <f t="shared" si="2"/>
        <v>3.97614314115308</v>
      </c>
      <c r="F38" s="5">
        <f t="shared" si="3"/>
        <v>3976.14314115308</v>
      </c>
    </row>
    <row r="39" spans="1:6">
      <c r="A39" s="1">
        <v>230</v>
      </c>
      <c r="C39" s="1">
        <v>0.2</v>
      </c>
      <c r="D39" s="4">
        <v>52.9</v>
      </c>
      <c r="E39" s="2">
        <f t="shared" si="2"/>
        <v>3.78071833648393</v>
      </c>
      <c r="F39" s="5">
        <f t="shared" si="3"/>
        <v>3780.71833648393</v>
      </c>
    </row>
    <row r="40" spans="1:6">
      <c r="A40" s="1">
        <v>230</v>
      </c>
      <c r="C40" s="1">
        <v>0.2</v>
      </c>
      <c r="D40" s="4">
        <v>42.6</v>
      </c>
      <c r="E40" s="2">
        <f t="shared" si="2"/>
        <v>4.69483568075117</v>
      </c>
      <c r="F40" s="5">
        <f t="shared" si="3"/>
        <v>4694.83568075117</v>
      </c>
    </row>
    <row r="41" spans="1:6">
      <c r="A41" s="1">
        <v>230</v>
      </c>
      <c r="C41" s="1">
        <v>0.2</v>
      </c>
      <c r="D41" s="4">
        <v>42.9</v>
      </c>
      <c r="E41" s="2">
        <f t="shared" si="2"/>
        <v>4.66200466200466</v>
      </c>
      <c r="F41" s="5">
        <f t="shared" si="3"/>
        <v>4662.00466200466</v>
      </c>
    </row>
    <row r="42" spans="1:6">
      <c r="A42" s="1">
        <v>220</v>
      </c>
      <c r="C42" s="1">
        <v>0.2</v>
      </c>
      <c r="D42" s="4">
        <v>38.3</v>
      </c>
      <c r="E42" s="2">
        <f t="shared" si="2"/>
        <v>5.22193211488251</v>
      </c>
      <c r="F42" s="5">
        <f t="shared" si="3"/>
        <v>5221.93211488251</v>
      </c>
    </row>
    <row r="43" spans="1:6">
      <c r="A43" s="1">
        <v>220</v>
      </c>
      <c r="C43" s="1">
        <v>0.2</v>
      </c>
      <c r="D43" s="4">
        <v>37.9</v>
      </c>
      <c r="E43" s="2">
        <f t="shared" si="2"/>
        <v>5.27704485488127</v>
      </c>
      <c r="F43" s="5">
        <f t="shared" si="3"/>
        <v>5277.04485488127</v>
      </c>
    </row>
    <row r="44" spans="1:6">
      <c r="A44" s="1">
        <v>220</v>
      </c>
      <c r="C44" s="1">
        <v>0.2</v>
      </c>
      <c r="D44" s="4">
        <v>46.2</v>
      </c>
      <c r="E44" s="2">
        <f t="shared" si="2"/>
        <v>4.32900432900433</v>
      </c>
      <c r="F44" s="5">
        <f t="shared" si="3"/>
        <v>4329.00432900433</v>
      </c>
    </row>
    <row r="45" spans="1:6">
      <c r="A45" s="1">
        <v>220</v>
      </c>
      <c r="C45" s="1">
        <v>0.2</v>
      </c>
      <c r="D45" s="4">
        <v>47.1</v>
      </c>
      <c r="E45" s="2">
        <f t="shared" si="2"/>
        <v>4.24628450106157</v>
      </c>
      <c r="F45" s="5">
        <f t="shared" si="3"/>
        <v>4246.28450106157</v>
      </c>
    </row>
    <row r="46" spans="1:6">
      <c r="A46" s="1">
        <v>220</v>
      </c>
      <c r="C46" s="1">
        <v>0.2</v>
      </c>
      <c r="D46" s="4">
        <v>26.4</v>
      </c>
      <c r="E46" s="2">
        <f t="shared" si="2"/>
        <v>7.57575757575758</v>
      </c>
      <c r="F46" s="5">
        <f t="shared" si="3"/>
        <v>7575.75757575758</v>
      </c>
    </row>
    <row r="47" spans="1:6">
      <c r="A47" s="1">
        <v>210</v>
      </c>
      <c r="C47" s="1">
        <v>0.2</v>
      </c>
      <c r="D47" s="4">
        <v>33.3</v>
      </c>
      <c r="E47" s="2">
        <f t="shared" si="2"/>
        <v>6.00600600600601</v>
      </c>
      <c r="F47" s="5">
        <f t="shared" si="3"/>
        <v>6006.00600600601</v>
      </c>
    </row>
    <row r="48" spans="1:6">
      <c r="A48" s="1">
        <v>210</v>
      </c>
      <c r="C48" s="1">
        <v>0.2</v>
      </c>
      <c r="D48" s="4">
        <v>42.3</v>
      </c>
      <c r="E48" s="2">
        <f t="shared" si="2"/>
        <v>4.72813238770686</v>
      </c>
      <c r="F48" s="5">
        <f t="shared" si="3"/>
        <v>4728.13238770686</v>
      </c>
    </row>
    <row r="49" spans="1:6">
      <c r="A49" s="1">
        <v>210</v>
      </c>
      <c r="C49" s="1">
        <v>0.2</v>
      </c>
      <c r="D49" s="4">
        <v>41.9</v>
      </c>
      <c r="E49" s="2">
        <f t="shared" si="2"/>
        <v>4.77326968973747</v>
      </c>
      <c r="F49" s="5">
        <f t="shared" si="3"/>
        <v>4773.26968973747</v>
      </c>
    </row>
    <row r="50" spans="1:6">
      <c r="A50" s="1">
        <v>210</v>
      </c>
      <c r="C50" s="1">
        <v>0.2</v>
      </c>
      <c r="D50" s="4">
        <v>43.7</v>
      </c>
      <c r="E50" s="2">
        <f t="shared" si="2"/>
        <v>4.5766590389016</v>
      </c>
      <c r="F50" s="5">
        <f t="shared" si="3"/>
        <v>4576.6590389016</v>
      </c>
    </row>
    <row r="51" spans="1:6">
      <c r="A51" s="1">
        <v>210</v>
      </c>
      <c r="C51" s="1">
        <v>0.2</v>
      </c>
      <c r="D51" s="4">
        <v>42.3</v>
      </c>
      <c r="E51" s="2">
        <f t="shared" si="2"/>
        <v>4.72813238770686</v>
      </c>
      <c r="F51" s="5">
        <f t="shared" si="3"/>
        <v>4728.13238770686</v>
      </c>
    </row>
    <row r="52" spans="1:6">
      <c r="A52" s="1">
        <v>200</v>
      </c>
      <c r="C52" s="1">
        <v>0.2</v>
      </c>
      <c r="D52" s="4">
        <v>35.2</v>
      </c>
      <c r="E52" s="2">
        <f t="shared" si="2"/>
        <v>5.68181818181818</v>
      </c>
      <c r="F52" s="5">
        <f t="shared" si="3"/>
        <v>5681.81818181818</v>
      </c>
    </row>
    <row r="53" spans="1:6">
      <c r="A53" s="1">
        <v>200</v>
      </c>
      <c r="C53" s="1">
        <v>0.2</v>
      </c>
      <c r="D53" s="4">
        <v>37.8</v>
      </c>
      <c r="E53" s="2">
        <f t="shared" si="2"/>
        <v>5.29100529100529</v>
      </c>
      <c r="F53" s="5">
        <f t="shared" si="3"/>
        <v>5291.00529100529</v>
      </c>
    </row>
    <row r="54" spans="1:6">
      <c r="A54" s="1">
        <v>200</v>
      </c>
      <c r="C54" s="1">
        <v>0.2</v>
      </c>
      <c r="D54" s="4">
        <v>35.6</v>
      </c>
      <c r="E54" s="2">
        <f t="shared" si="2"/>
        <v>5.61797752808989</v>
      </c>
      <c r="F54" s="5">
        <f t="shared" si="3"/>
        <v>5617.97752808989</v>
      </c>
    </row>
    <row r="55" spans="1:6">
      <c r="A55" s="1">
        <v>200</v>
      </c>
      <c r="C55" s="1">
        <v>0.2</v>
      </c>
      <c r="D55" s="4">
        <v>37.6</v>
      </c>
      <c r="E55" s="2">
        <f t="shared" si="2"/>
        <v>5.31914893617021</v>
      </c>
      <c r="F55" s="5">
        <f t="shared" si="3"/>
        <v>5319.14893617021</v>
      </c>
    </row>
    <row r="56" spans="1:6">
      <c r="A56" s="1">
        <v>200</v>
      </c>
      <c r="C56" s="1">
        <v>0.2</v>
      </c>
      <c r="D56" s="4">
        <v>31.1</v>
      </c>
      <c r="E56" s="2">
        <f t="shared" si="2"/>
        <v>6.43086816720257</v>
      </c>
      <c r="F56" s="5">
        <f t="shared" si="3"/>
        <v>6430.86816720257</v>
      </c>
    </row>
    <row r="57" spans="1:6">
      <c r="E57" s="1"/>
      <c r="F57" s="5">
        <f t="shared" si="3"/>
        <v>0</v>
      </c>
    </row>
    <row r="58" spans="1:6">
      <c r="A58" s="1">
        <v>190</v>
      </c>
      <c r="C58" s="1">
        <v>0.2</v>
      </c>
      <c r="D58" s="4">
        <v>32.7</v>
      </c>
      <c r="E58" s="2">
        <f t="shared" ref="E58:E82" si="4">C58/(D58*0.000001)/1000</f>
        <v>6.11620795107034</v>
      </c>
      <c r="F58" s="5">
        <f t="shared" si="3"/>
        <v>6116.20795107034</v>
      </c>
    </row>
    <row r="59" spans="1:6">
      <c r="A59" s="1">
        <v>190</v>
      </c>
      <c r="C59" s="1">
        <v>0.2</v>
      </c>
      <c r="D59" s="4">
        <v>30.7</v>
      </c>
      <c r="E59" s="2">
        <f t="shared" si="4"/>
        <v>6.51465798045603</v>
      </c>
      <c r="F59" s="5">
        <f t="shared" si="3"/>
        <v>6514.65798045603</v>
      </c>
    </row>
    <row r="60" spans="1:6">
      <c r="A60" s="1">
        <v>190</v>
      </c>
      <c r="C60" s="1">
        <v>0.2</v>
      </c>
      <c r="D60" s="4">
        <v>28.8</v>
      </c>
      <c r="E60" s="2">
        <f t="shared" si="4"/>
        <v>6.94444444444445</v>
      </c>
      <c r="F60" s="5">
        <f t="shared" si="3"/>
        <v>6944.44444444445</v>
      </c>
    </row>
    <row r="61" spans="1:6">
      <c r="A61" s="1">
        <v>190</v>
      </c>
      <c r="C61" s="1">
        <v>0.2</v>
      </c>
      <c r="D61" s="4">
        <v>24.6</v>
      </c>
      <c r="E61" s="2">
        <f t="shared" si="4"/>
        <v>8.13008130081301</v>
      </c>
      <c r="F61" s="5">
        <f t="shared" si="3"/>
        <v>8130.08130081301</v>
      </c>
    </row>
    <row r="62" spans="1:6">
      <c r="A62" s="1">
        <v>190</v>
      </c>
      <c r="C62" s="1">
        <v>0.2</v>
      </c>
      <c r="D62" s="4">
        <v>31.9</v>
      </c>
      <c r="E62" s="2">
        <f t="shared" si="4"/>
        <v>6.26959247648903</v>
      </c>
      <c r="F62" s="5">
        <f t="shared" si="3"/>
        <v>6269.59247648903</v>
      </c>
    </row>
    <row r="63" spans="1:6">
      <c r="A63" s="1">
        <v>180</v>
      </c>
      <c r="C63" s="1">
        <v>0.2</v>
      </c>
      <c r="D63" s="4">
        <v>25.2</v>
      </c>
      <c r="E63" s="2">
        <f t="shared" si="4"/>
        <v>7.93650793650794</v>
      </c>
      <c r="F63" s="5">
        <f t="shared" si="3"/>
        <v>7936.50793650794</v>
      </c>
    </row>
    <row r="64" spans="1:6">
      <c r="A64" s="1">
        <v>180</v>
      </c>
      <c r="C64" s="1">
        <v>0.2</v>
      </c>
      <c r="D64" s="4">
        <v>25.2</v>
      </c>
      <c r="E64" s="2">
        <f t="shared" si="4"/>
        <v>7.93650793650794</v>
      </c>
      <c r="F64" s="5">
        <f t="shared" si="3"/>
        <v>7936.50793650794</v>
      </c>
    </row>
    <row r="65" spans="1:6">
      <c r="A65" s="1">
        <v>180</v>
      </c>
      <c r="C65" s="1">
        <v>0.2</v>
      </c>
      <c r="D65" s="4">
        <v>24</v>
      </c>
      <c r="E65" s="2">
        <f t="shared" si="4"/>
        <v>8.33333333333333</v>
      </c>
      <c r="F65" s="5">
        <f t="shared" si="3"/>
        <v>8333.33333333333</v>
      </c>
    </row>
    <row r="66" spans="1:6">
      <c r="A66" s="1">
        <v>180</v>
      </c>
      <c r="C66" s="1">
        <v>0.2</v>
      </c>
      <c r="D66" s="4">
        <v>24.6</v>
      </c>
      <c r="E66" s="2">
        <f t="shared" si="4"/>
        <v>8.13008130081301</v>
      </c>
      <c r="F66" s="5">
        <f t="shared" si="3"/>
        <v>8130.08130081301</v>
      </c>
    </row>
    <row r="67" spans="1:6">
      <c r="A67" s="1">
        <v>180</v>
      </c>
      <c r="C67" s="1">
        <v>0.2</v>
      </c>
      <c r="D67" s="4">
        <v>20.3</v>
      </c>
      <c r="E67" s="2">
        <f t="shared" si="4"/>
        <v>9.85221674876848</v>
      </c>
      <c r="F67" s="5">
        <f t="shared" ref="F67:F98" si="5">E67*1000</f>
        <v>9852.21674876847</v>
      </c>
    </row>
    <row r="68" spans="1:6">
      <c r="A68" s="1">
        <v>170</v>
      </c>
      <c r="C68" s="1">
        <v>0.2</v>
      </c>
      <c r="D68" s="4">
        <v>19.6</v>
      </c>
      <c r="E68" s="2">
        <f t="shared" si="4"/>
        <v>10.2040816326531</v>
      </c>
      <c r="F68" s="5">
        <f t="shared" si="5"/>
        <v>10204.0816326531</v>
      </c>
    </row>
    <row r="69" spans="1:6">
      <c r="A69" s="1">
        <v>170</v>
      </c>
      <c r="C69" s="1">
        <v>0.2</v>
      </c>
      <c r="D69" s="4">
        <v>16.6</v>
      </c>
      <c r="E69" s="2">
        <f t="shared" si="4"/>
        <v>12.0481927710843</v>
      </c>
      <c r="F69" s="5">
        <f t="shared" si="5"/>
        <v>12048.1927710843</v>
      </c>
    </row>
    <row r="70" spans="1:6">
      <c r="A70" s="1">
        <v>170</v>
      </c>
      <c r="C70" s="1">
        <v>0.2</v>
      </c>
      <c r="D70" s="4">
        <v>20.4</v>
      </c>
      <c r="E70" s="2">
        <f t="shared" si="4"/>
        <v>9.80392156862745</v>
      </c>
      <c r="F70" s="5">
        <f t="shared" si="5"/>
        <v>9803.92156862745</v>
      </c>
    </row>
    <row r="71" spans="1:6">
      <c r="A71" s="1">
        <v>170</v>
      </c>
      <c r="C71" s="1">
        <v>0.2</v>
      </c>
      <c r="D71" s="4">
        <v>22.7</v>
      </c>
      <c r="E71" s="2">
        <f t="shared" si="4"/>
        <v>8.81057268722467</v>
      </c>
      <c r="F71" s="5">
        <f t="shared" si="5"/>
        <v>8810.57268722467</v>
      </c>
    </row>
    <row r="72" spans="1:6">
      <c r="A72" s="1">
        <v>170</v>
      </c>
      <c r="C72" s="1">
        <v>0.2</v>
      </c>
      <c r="D72" s="4">
        <v>22.8</v>
      </c>
      <c r="E72" s="2">
        <f t="shared" si="4"/>
        <v>8.7719298245614</v>
      </c>
      <c r="F72" s="5">
        <f t="shared" si="5"/>
        <v>8771.9298245614</v>
      </c>
    </row>
    <row r="73" spans="1:6">
      <c r="A73" s="1">
        <v>160</v>
      </c>
      <c r="C73" s="1">
        <v>0.2</v>
      </c>
      <c r="D73" s="4">
        <v>15.4</v>
      </c>
      <c r="E73" s="2">
        <f t="shared" si="4"/>
        <v>12.987012987013</v>
      </c>
      <c r="F73" s="5">
        <f t="shared" si="5"/>
        <v>12987.012987013</v>
      </c>
    </row>
    <row r="74" spans="1:6">
      <c r="A74" s="1">
        <v>160</v>
      </c>
      <c r="C74" s="1">
        <v>0.2</v>
      </c>
      <c r="D74" s="4">
        <v>16.2</v>
      </c>
      <c r="E74" s="2">
        <f t="shared" si="4"/>
        <v>12.3456790123457</v>
      </c>
      <c r="F74" s="5">
        <f t="shared" si="5"/>
        <v>12345.6790123457</v>
      </c>
    </row>
    <row r="75" spans="1:6">
      <c r="A75" s="1">
        <v>160</v>
      </c>
      <c r="C75" s="1">
        <v>0.2</v>
      </c>
      <c r="D75" s="4">
        <v>17</v>
      </c>
      <c r="E75" s="2">
        <f t="shared" si="4"/>
        <v>11.7647058823529</v>
      </c>
      <c r="F75" s="5">
        <f t="shared" si="5"/>
        <v>11764.7058823529</v>
      </c>
    </row>
    <row r="76" spans="1:6">
      <c r="A76" s="1">
        <v>160</v>
      </c>
      <c r="C76" s="1">
        <v>0.2</v>
      </c>
      <c r="D76" s="4">
        <v>16.5</v>
      </c>
      <c r="E76" s="2">
        <f t="shared" si="4"/>
        <v>12.1212121212121</v>
      </c>
      <c r="F76" s="5">
        <f t="shared" si="5"/>
        <v>12121.2121212121</v>
      </c>
    </row>
    <row r="77" spans="1:6">
      <c r="A77" s="1">
        <v>160</v>
      </c>
      <c r="C77" s="1">
        <v>0.2</v>
      </c>
      <c r="D77" s="4">
        <v>105</v>
      </c>
      <c r="E77" s="2">
        <f t="shared" si="4"/>
        <v>1.90476190476191</v>
      </c>
      <c r="F77" s="5">
        <f t="shared" si="5"/>
        <v>1904.76190476191</v>
      </c>
    </row>
    <row r="78" spans="1:6">
      <c r="A78" s="1">
        <v>150</v>
      </c>
      <c r="C78" s="1">
        <v>0.2</v>
      </c>
      <c r="D78" s="4">
        <v>14.2</v>
      </c>
      <c r="E78" s="2">
        <f t="shared" si="4"/>
        <v>14.0845070422535</v>
      </c>
      <c r="F78" s="5">
        <f t="shared" si="5"/>
        <v>14084.5070422535</v>
      </c>
    </row>
    <row r="79" spans="1:6">
      <c r="A79" s="1">
        <v>150</v>
      </c>
      <c r="C79" s="1">
        <v>0.2</v>
      </c>
      <c r="D79" s="4">
        <v>13.5</v>
      </c>
      <c r="E79" s="2">
        <f t="shared" si="4"/>
        <v>14.8148148148148</v>
      </c>
      <c r="F79" s="5">
        <f t="shared" si="5"/>
        <v>14814.8148148148</v>
      </c>
    </row>
    <row r="80" spans="1:6">
      <c r="A80" s="1">
        <v>150</v>
      </c>
      <c r="C80" s="1">
        <v>0.2</v>
      </c>
      <c r="D80" s="4">
        <v>13.6</v>
      </c>
      <c r="E80" s="2">
        <f t="shared" si="4"/>
        <v>14.7058823529412</v>
      </c>
      <c r="F80" s="5">
        <f t="shared" si="5"/>
        <v>14705.8823529412</v>
      </c>
    </row>
    <row r="81" spans="1:6">
      <c r="A81" s="1">
        <v>150</v>
      </c>
      <c r="C81" s="1">
        <v>0.2</v>
      </c>
      <c r="D81" s="4">
        <v>12.8</v>
      </c>
      <c r="E81" s="2">
        <f t="shared" si="4"/>
        <v>15.625</v>
      </c>
      <c r="F81" s="5">
        <f t="shared" si="5"/>
        <v>15625</v>
      </c>
    </row>
    <row r="82" spans="1:6">
      <c r="A82" s="1">
        <v>150</v>
      </c>
      <c r="C82" s="1">
        <v>0.2</v>
      </c>
      <c r="D82" s="4">
        <v>14.4</v>
      </c>
      <c r="E82" s="2">
        <f t="shared" si="4"/>
        <v>13.8888888888889</v>
      </c>
      <c r="F82" s="5">
        <f t="shared" si="5"/>
        <v>13888.8888888889</v>
      </c>
    </row>
    <row r="83" spans="1:6">
      <c r="E83" s="1"/>
      <c r="F83" s="5">
        <f t="shared" si="5"/>
        <v>0</v>
      </c>
    </row>
    <row r="84" spans="1:6">
      <c r="A84" s="1">
        <v>140</v>
      </c>
      <c r="C84" s="1">
        <v>0.2</v>
      </c>
      <c r="D84" s="4">
        <v>12</v>
      </c>
      <c r="E84" s="2">
        <f t="shared" ref="E84:E108" si="6">C84/(D84*0.000001)/1000</f>
        <v>16.6666666666667</v>
      </c>
      <c r="F84" s="5">
        <f t="shared" si="5"/>
        <v>16666.6666666667</v>
      </c>
    </row>
    <row r="85" spans="1:6">
      <c r="A85" s="1">
        <v>140</v>
      </c>
      <c r="C85" s="1">
        <v>0.2</v>
      </c>
      <c r="D85" s="4">
        <v>11.4</v>
      </c>
      <c r="E85" s="2">
        <f t="shared" si="6"/>
        <v>17.5438596491228</v>
      </c>
      <c r="F85" s="5">
        <f t="shared" si="5"/>
        <v>17543.8596491228</v>
      </c>
    </row>
    <row r="86" spans="1:6">
      <c r="A86" s="1">
        <v>140</v>
      </c>
      <c r="C86" s="1">
        <v>0.2</v>
      </c>
      <c r="D86" s="4">
        <v>13.5</v>
      </c>
      <c r="E86" s="2">
        <f t="shared" si="6"/>
        <v>14.8148148148148</v>
      </c>
      <c r="F86" s="5">
        <f t="shared" si="5"/>
        <v>14814.8148148148</v>
      </c>
    </row>
    <row r="87" spans="1:6">
      <c r="A87" s="1">
        <v>140</v>
      </c>
      <c r="C87" s="1">
        <v>0.2</v>
      </c>
      <c r="D87" s="4">
        <v>11.1</v>
      </c>
      <c r="E87" s="2">
        <f t="shared" si="6"/>
        <v>18.018018018018</v>
      </c>
      <c r="F87" s="5">
        <f t="shared" si="5"/>
        <v>18018.018018018</v>
      </c>
    </row>
    <row r="88" spans="1:6">
      <c r="A88" s="1">
        <v>140</v>
      </c>
      <c r="C88" s="1">
        <v>0.2</v>
      </c>
      <c r="D88" s="4">
        <v>12.6</v>
      </c>
      <c r="E88" s="2">
        <f t="shared" si="6"/>
        <v>15.8730158730159</v>
      </c>
      <c r="F88" s="5">
        <f t="shared" si="5"/>
        <v>15873.0158730159</v>
      </c>
    </row>
    <row r="89" spans="1:6">
      <c r="A89" s="1">
        <v>130</v>
      </c>
      <c r="C89" s="1">
        <v>0.2</v>
      </c>
      <c r="D89" s="4">
        <v>11.7</v>
      </c>
      <c r="E89" s="2">
        <f t="shared" si="6"/>
        <v>17.0940170940171</v>
      </c>
      <c r="F89" s="5">
        <f t="shared" si="5"/>
        <v>17094.0170940171</v>
      </c>
    </row>
    <row r="90" spans="1:6">
      <c r="A90" s="1">
        <v>130</v>
      </c>
      <c r="C90" s="1">
        <v>0.2</v>
      </c>
      <c r="D90" s="4">
        <v>11</v>
      </c>
      <c r="E90" s="2">
        <f t="shared" si="6"/>
        <v>18.1818181818182</v>
      </c>
      <c r="F90" s="5">
        <f t="shared" si="5"/>
        <v>18181.8181818182</v>
      </c>
    </row>
    <row r="91" spans="1:6">
      <c r="A91" s="1">
        <v>130</v>
      </c>
      <c r="C91" s="1">
        <v>0.2</v>
      </c>
      <c r="D91" s="4">
        <v>11.6</v>
      </c>
      <c r="E91" s="2">
        <f t="shared" si="6"/>
        <v>17.2413793103448</v>
      </c>
      <c r="F91" s="5">
        <f t="shared" si="5"/>
        <v>17241.3793103448</v>
      </c>
    </row>
    <row r="92" spans="1:6">
      <c r="A92" s="1">
        <v>130</v>
      </c>
      <c r="C92" s="1">
        <v>0.2</v>
      </c>
      <c r="D92" s="4">
        <v>11.1</v>
      </c>
      <c r="E92" s="2">
        <f t="shared" si="6"/>
        <v>18.018018018018</v>
      </c>
      <c r="F92" s="5">
        <f t="shared" si="5"/>
        <v>18018.018018018</v>
      </c>
    </row>
    <row r="93" spans="1:6">
      <c r="A93" s="1">
        <v>130</v>
      </c>
      <c r="C93" s="1">
        <v>0.2</v>
      </c>
      <c r="D93" s="4">
        <v>11.3</v>
      </c>
      <c r="E93" s="2">
        <f t="shared" si="6"/>
        <v>17.6991150442478</v>
      </c>
      <c r="F93" s="5">
        <f t="shared" si="5"/>
        <v>17699.1150442478</v>
      </c>
    </row>
    <row r="94" spans="1:6">
      <c r="A94" s="1">
        <v>120</v>
      </c>
      <c r="C94" s="1">
        <v>0.2</v>
      </c>
      <c r="D94" s="4">
        <v>9.6</v>
      </c>
      <c r="E94" s="2">
        <f t="shared" si="6"/>
        <v>20.8333333333333</v>
      </c>
      <c r="F94" s="5">
        <f t="shared" si="5"/>
        <v>20833.3333333333</v>
      </c>
    </row>
    <row r="95" spans="1:6">
      <c r="A95" s="1">
        <v>120</v>
      </c>
      <c r="C95" s="1">
        <v>0.2</v>
      </c>
      <c r="D95" s="4">
        <v>9.7</v>
      </c>
      <c r="E95" s="2">
        <f t="shared" si="6"/>
        <v>20.6185567010309</v>
      </c>
      <c r="F95" s="5">
        <f t="shared" si="5"/>
        <v>20618.5567010309</v>
      </c>
    </row>
    <row r="96" spans="1:6">
      <c r="A96" s="1">
        <v>120</v>
      </c>
      <c r="C96" s="1">
        <v>0.2</v>
      </c>
      <c r="D96" s="4">
        <v>9.7</v>
      </c>
      <c r="E96" s="2">
        <f t="shared" si="6"/>
        <v>20.6185567010309</v>
      </c>
      <c r="F96" s="5">
        <f t="shared" si="5"/>
        <v>20618.5567010309</v>
      </c>
    </row>
    <row r="97" spans="1:6">
      <c r="A97" s="1">
        <v>120</v>
      </c>
      <c r="C97" s="1">
        <v>0.2</v>
      </c>
      <c r="D97" s="4">
        <v>7.9</v>
      </c>
      <c r="E97" s="2">
        <f t="shared" si="6"/>
        <v>25.3164556962025</v>
      </c>
      <c r="F97" s="5">
        <f t="shared" si="5"/>
        <v>25316.4556962025</v>
      </c>
    </row>
    <row r="98" spans="1:6">
      <c r="A98" s="1">
        <v>120</v>
      </c>
      <c r="C98" s="1">
        <v>0.2</v>
      </c>
      <c r="D98" s="4">
        <v>11.3</v>
      </c>
      <c r="E98" s="2">
        <f t="shared" si="6"/>
        <v>17.6991150442478</v>
      </c>
      <c r="F98" s="5">
        <f t="shared" si="5"/>
        <v>17699.1150442478</v>
      </c>
    </row>
    <row r="99" spans="1:6">
      <c r="A99" s="1">
        <v>110</v>
      </c>
      <c r="C99" s="1">
        <v>0.2</v>
      </c>
      <c r="D99" s="4">
        <v>6.4</v>
      </c>
      <c r="E99" s="2">
        <f t="shared" si="6"/>
        <v>31.25</v>
      </c>
      <c r="F99" s="5">
        <f>E99*1000</f>
        <v>31250</v>
      </c>
    </row>
    <row r="100" spans="1:6">
      <c r="A100" s="1">
        <v>110</v>
      </c>
      <c r="C100" s="1">
        <v>0.2</v>
      </c>
      <c r="D100" s="4">
        <v>8.5</v>
      </c>
      <c r="E100" s="2">
        <f t="shared" si="6"/>
        <v>23.5294117647059</v>
      </c>
      <c r="F100" s="5">
        <f>E100*1000</f>
        <v>23529.4117647059</v>
      </c>
    </row>
    <row r="101" spans="1:6">
      <c r="A101" s="1">
        <v>110</v>
      </c>
      <c r="C101" s="1">
        <v>0.2</v>
      </c>
      <c r="D101" s="4">
        <v>8.6</v>
      </c>
      <c r="E101" s="2">
        <f t="shared" si="6"/>
        <v>23.2558139534884</v>
      </c>
      <c r="F101" s="5">
        <f>E101*1000</f>
        <v>23255.8139534884</v>
      </c>
    </row>
    <row r="102" spans="1:6">
      <c r="A102" s="1">
        <v>110</v>
      </c>
      <c r="C102" s="1">
        <v>0.2</v>
      </c>
      <c r="D102" s="4">
        <v>10.8</v>
      </c>
      <c r="E102" s="2">
        <f t="shared" si="6"/>
        <v>18.5185185185185</v>
      </c>
      <c r="F102" s="5">
        <f>E102*1000</f>
        <v>18518.5185185185</v>
      </c>
    </row>
    <row r="103" spans="1:6">
      <c r="A103" s="1">
        <v>110</v>
      </c>
      <c r="C103" s="1">
        <v>0.2</v>
      </c>
      <c r="D103" s="4">
        <v>12.4</v>
      </c>
      <c r="E103" s="2">
        <f t="shared" si="6"/>
        <v>16.1290322580645</v>
      </c>
      <c r="F103" s="5">
        <f>E103*1000</f>
        <v>16129.0322580645</v>
      </c>
    </row>
    <row r="104" spans="1:6">
      <c r="A104" s="1">
        <v>100</v>
      </c>
      <c r="C104" s="1">
        <v>0.2</v>
      </c>
      <c r="D104" s="4">
        <v>5.7</v>
      </c>
      <c r="E104" s="2">
        <f t="shared" si="6"/>
        <v>35.0877192982456</v>
      </c>
      <c r="F104" s="5">
        <f>E104*1000</f>
        <v>35087.7192982456</v>
      </c>
    </row>
    <row r="105" spans="1:6">
      <c r="A105" s="1">
        <v>100</v>
      </c>
      <c r="C105" s="1">
        <v>0.2</v>
      </c>
      <c r="D105" s="4">
        <v>6.6</v>
      </c>
      <c r="E105" s="2">
        <f t="shared" si="6"/>
        <v>30.3030303030303</v>
      </c>
      <c r="F105" s="5">
        <f>E105*1000</f>
        <v>30303.0303030303</v>
      </c>
    </row>
    <row r="106" spans="1:6">
      <c r="A106" s="1">
        <v>100</v>
      </c>
      <c r="C106" s="1">
        <v>0.2</v>
      </c>
      <c r="D106" s="4">
        <v>8.9</v>
      </c>
      <c r="E106" s="2">
        <f t="shared" si="6"/>
        <v>22.4719101123596</v>
      </c>
      <c r="F106" s="5">
        <f>E106*1000</f>
        <v>22471.9101123596</v>
      </c>
    </row>
    <row r="107" spans="1:6">
      <c r="A107" s="1">
        <v>100</v>
      </c>
      <c r="C107" s="1">
        <v>0.2</v>
      </c>
      <c r="D107" s="4">
        <v>11.7</v>
      </c>
      <c r="E107" s="2">
        <f t="shared" si="6"/>
        <v>17.0940170940171</v>
      </c>
      <c r="F107" s="5">
        <f>E107*1000</f>
        <v>17094.0170940171</v>
      </c>
    </row>
    <row r="108" spans="1:6">
      <c r="A108" s="1">
        <v>100</v>
      </c>
      <c r="C108" s="1">
        <v>0.2</v>
      </c>
      <c r="D108" s="4">
        <v>12.9</v>
      </c>
      <c r="E108" s="2">
        <f t="shared" si="6"/>
        <v>15.5038759689922</v>
      </c>
      <c r="F108" s="5">
        <f>E108*1000</f>
        <v>15503.8759689922</v>
      </c>
    </row>
    <row r="109" spans="1:6">
      <c r="D109" s="4"/>
      <c r="F109" s="5"/>
    </row>
    <row r="110" spans="1:6">
      <c r="D110" s="4"/>
      <c r="F110" s="5"/>
    </row>
    <row r="111" spans="1:6">
      <c r="D111" s="4"/>
    </row>
    <row r="112" spans="1:6">
      <c r="D112" s="4"/>
    </row>
    <row r="113" spans="4:6">
      <c r="D113" s="4"/>
    </row>
    <row r="114" spans="4:6">
      <c r="D114" s="4"/>
      <c r="F114" s="5"/>
    </row>
    <row r="115" spans="4:6">
      <c r="D115" s="4"/>
      <c r="F115" s="5"/>
    </row>
    <row r="116" spans="4:6">
      <c r="D116" s="4"/>
      <c r="F116" s="5"/>
    </row>
    <row r="117" spans="4:6">
      <c r="D117" s="4"/>
      <c r="F117" s="5"/>
    </row>
    <row r="118" spans="4:6">
      <c r="D118" s="4"/>
      <c r="F118" s="5"/>
    </row>
    <row r="119" spans="4:6">
      <c r="D119" s="4"/>
      <c r="F119" s="5"/>
    </row>
    <row r="120" spans="4:6">
      <c r="D120" s="4"/>
      <c r="F120" s="5"/>
    </row>
    <row r="121" spans="4:6">
      <c r="D121" s="4"/>
      <c r="F121" s="5"/>
    </row>
    <row r="122" spans="4:6">
      <c r="D122" s="4"/>
      <c r="F122" s="5"/>
    </row>
    <row r="123" spans="4:6">
      <c r="D123" s="4"/>
      <c r="F123" s="5"/>
    </row>
    <row r="124" spans="4:6">
      <c r="D124" s="4"/>
      <c r="F124" s="5"/>
    </row>
    <row r="125" spans="4:6">
      <c r="D125" s="4"/>
      <c r="F125" s="5"/>
    </row>
    <row r="126" spans="4:6">
      <c r="D126" s="4"/>
      <c r="F126" s="5"/>
    </row>
    <row r="127" spans="4:6">
      <c r="D127" s="4"/>
      <c r="F127" s="5"/>
    </row>
    <row r="128" spans="4:6">
      <c r="F128" s="5"/>
    </row>
    <row r="129" spans="4:42">
      <c r="D129" s="4"/>
      <c r="F129" s="5"/>
    </row>
    <row r="130" spans="4:42">
      <c r="D130" s="4"/>
    </row>
    <row r="131" spans="4:42">
      <c r="D131" s="4"/>
    </row>
    <row r="132" spans="4:42">
      <c r="D132" s="4"/>
    </row>
    <row r="133" spans="4:42">
      <c r="D133" s="4"/>
      <c r="F133" s="5"/>
    </row>
    <row r="134" spans="4:42">
      <c r="D134" s="4"/>
      <c r="F134" s="5"/>
    </row>
    <row r="135" spans="4:42">
      <c r="D135" s="4"/>
      <c r="F135" s="5"/>
    </row>
    <row r="136" spans="4:42">
      <c r="D136" s="4"/>
      <c r="F136" s="5"/>
    </row>
    <row r="137" spans="4:42">
      <c r="D137" s="4"/>
      <c r="F137" s="5"/>
    </row>
    <row r="138" spans="4:42">
      <c r="D138" s="4"/>
      <c r="F138" s="5"/>
    </row>
    <row r="139" spans="4:42">
      <c r="D139" s="4"/>
      <c r="F139" s="5"/>
    </row>
    <row r="140" spans="4:42">
      <c r="D140" s="4"/>
      <c r="F140" s="5"/>
      <c r="U140" s="3"/>
      <c r="AB140" s="3"/>
      <c r="AI140" s="3"/>
      <c r="AP140" s="3"/>
    </row>
    <row r="141" spans="4:42">
      <c r="D141" s="4"/>
      <c r="F141" s="5"/>
    </row>
    <row r="142" spans="4:42">
      <c r="D142" s="4"/>
      <c r="F142" s="5"/>
    </row>
    <row r="143" spans="4:42">
      <c r="F143" s="5"/>
    </row>
    <row r="144" spans="4:42">
      <c r="D144" s="4"/>
      <c r="F144" s="5"/>
    </row>
    <row r="145" spans="4:35">
      <c r="D145" s="4"/>
      <c r="F145" s="5"/>
    </row>
    <row r="146" spans="4:35">
      <c r="D146" s="4"/>
      <c r="F146" s="5"/>
      <c r="U146" s="3"/>
      <c r="AB146" s="3"/>
      <c r="AI146" s="3"/>
    </row>
    <row r="147" spans="4:35">
      <c r="D147" s="4"/>
      <c r="F147" s="5"/>
      <c r="R147" s="8"/>
    </row>
    <row r="148" spans="4:35">
      <c r="D148" s="4"/>
      <c r="F148" s="5"/>
    </row>
    <row r="149" spans="4:35">
      <c r="D149" s="4"/>
    </row>
    <row r="150" spans="4:35">
      <c r="D150" s="4"/>
    </row>
    <row r="151" spans="4:35">
      <c r="D151" s="4"/>
    </row>
    <row r="152" spans="4:35">
      <c r="D152" s="4"/>
    </row>
    <row r="153" spans="4:35">
      <c r="D153" s="4"/>
    </row>
    <row r="154" spans="4:35">
      <c r="D154" s="4"/>
    </row>
    <row r="155" spans="4:35">
      <c r="D155" s="4"/>
    </row>
    <row r="156" spans="4:35">
      <c r="D156" s="4"/>
    </row>
    <row r="157" spans="4:35">
      <c r="D157" s="4"/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57"/>
  <sheetViews>
    <sheetView topLeftCell="A3" workbookViewId="0">
      <selection activeCell="F17" sqref="F17"/>
    </sheetView>
  </sheetViews>
  <sheetFormatPr defaultColWidth="8.54464285714286" defaultRowHeight="16.8"/>
  <cols>
    <col min="1" max="1" width="20.1428571428571" style="1" customWidth="1"/>
    <col min="3" max="3" width="10.8482142857143" style="1" customWidth="1"/>
    <col min="4" max="4" width="11" style="1" customWidth="1"/>
    <col min="5" max="5" width="16.8392857142857" style="2" customWidth="1"/>
    <col min="6" max="6" width="18.1428571428571" style="1" customWidth="1"/>
    <col min="9" max="9" width="16.4285714285714" style="1" customWidth="1"/>
    <col min="11" max="11" width="10.1428571428571" style="1" customWidth="1"/>
    <col min="17" max="17" width="9.14285714285714" style="1" customWidth="1"/>
    <col min="16379" max="16384" width="11.5267857142857" customWidth="1"/>
  </cols>
  <sheetData>
    <row r="1" spans="1:14">
      <c r="A1" s="3" t="s">
        <v>0</v>
      </c>
      <c r="C1" s="1" t="s">
        <v>1</v>
      </c>
      <c r="D1" s="1" t="s">
        <v>2</v>
      </c>
      <c r="E1" s="2" t="s">
        <v>3</v>
      </c>
    </row>
    <row r="2" spans="1:14">
      <c r="A2" s="1" t="s">
        <v>4</v>
      </c>
      <c r="C2" s="1">
        <v>0.001</v>
      </c>
      <c r="D2" s="4">
        <v>105</v>
      </c>
      <c r="E2" s="2">
        <f>C2/(D2*0.000001)/1000</f>
        <v>0.00952380952380952</v>
      </c>
      <c r="F2" s="5"/>
    </row>
    <row r="3" spans="1:14">
      <c r="A3" s="1" t="s">
        <v>5</v>
      </c>
      <c r="C3" s="1">
        <v>0.1</v>
      </c>
      <c r="D3" s="4">
        <v>0.011</v>
      </c>
      <c r="E3" s="2">
        <f>C3/(D3*0.000001)/1000</f>
        <v>9090.90909090909</v>
      </c>
      <c r="F3" s="5"/>
      <c r="G3" s="1"/>
    </row>
    <row r="4" spans="1:14">
      <c r="D4" s="4"/>
      <c r="F4" s="5"/>
    </row>
    <row r="5" spans="1:14">
      <c r="D5" s="4"/>
      <c r="E5" s="6"/>
      <c r="F5" s="5"/>
    </row>
    <row r="6" spans="1:14">
      <c r="C6" s="1">
        <v>0.2</v>
      </c>
      <c r="D6" s="4">
        <v>38.5</v>
      </c>
      <c r="E6" s="2">
        <f>C6/(D6*0.000001)/1000</f>
        <v>5.1948051948052</v>
      </c>
      <c r="F6" s="5"/>
      <c r="K6" s="7"/>
      <c r="L6" s="7"/>
      <c r="M6" s="7"/>
      <c r="N6" s="7"/>
    </row>
    <row r="7" spans="1:14">
      <c r="C7" s="1">
        <v>0.2</v>
      </c>
      <c r="D7" s="4">
        <v>42</v>
      </c>
      <c r="E7" s="2">
        <f>C7/(D7*0.000001)/1000</f>
        <v>4.76190476190476</v>
      </c>
      <c r="F7" s="5"/>
    </row>
    <row r="8" spans="1:14">
      <c r="C8" s="1">
        <v>0.2</v>
      </c>
      <c r="D8" s="4">
        <v>35.5</v>
      </c>
      <c r="E8" s="2">
        <f>C8/(D8*0.000001)/1000</f>
        <v>5.63380281690141</v>
      </c>
      <c r="F8" s="5"/>
    </row>
    <row r="9" spans="1:14">
      <c r="C9" s="1">
        <v>0.2</v>
      </c>
      <c r="D9" s="4">
        <v>105</v>
      </c>
      <c r="E9" s="2">
        <f>C9/(D9*0.000001)/1000</f>
        <v>1.90476190476191</v>
      </c>
      <c r="F9" s="5"/>
    </row>
    <row r="10" spans="1:14">
      <c r="C10" s="1">
        <v>0.2</v>
      </c>
      <c r="D10" s="4">
        <v>32.5</v>
      </c>
      <c r="E10" s="2">
        <f>C10/(D10*0.000001)/1000</f>
        <v>6.15384615384616</v>
      </c>
      <c r="F10" s="5"/>
    </row>
    <row r="11" spans="1:14">
      <c r="D11" s="4"/>
      <c r="F11" s="5"/>
    </row>
    <row r="12" spans="1:14">
      <c r="C12" s="1">
        <v>0.2</v>
      </c>
      <c r="D12" s="4">
        <v>42.7</v>
      </c>
      <c r="E12" s="2">
        <f>C12/(D12*0.000001)/1000</f>
        <v>4.68384074941452</v>
      </c>
      <c r="F12" s="5"/>
    </row>
    <row r="13" spans="1:14">
      <c r="C13" s="1">
        <v>0.2</v>
      </c>
      <c r="D13" s="4">
        <v>40.3</v>
      </c>
      <c r="E13" s="2">
        <f>C13/(D13*0.000001)/1000</f>
        <v>4.96277915632754</v>
      </c>
      <c r="F13" s="5"/>
    </row>
    <row r="14" spans="1:14">
      <c r="C14" s="1">
        <v>0.2</v>
      </c>
      <c r="D14" s="4">
        <v>45</v>
      </c>
      <c r="E14" s="2">
        <f>C14/(D14*0.000001)/1000</f>
        <v>4.44444444444445</v>
      </c>
      <c r="F14" s="5"/>
    </row>
    <row r="15" spans="1:14">
      <c r="C15" s="1">
        <v>0.2</v>
      </c>
      <c r="D15" s="4">
        <v>45.1</v>
      </c>
      <c r="E15" s="2">
        <f>C15/(D15*0.000001)/1000</f>
        <v>4.43458980044346</v>
      </c>
      <c r="F15" s="5"/>
    </row>
    <row r="16" spans="1:14">
      <c r="C16" s="1">
        <v>0.2</v>
      </c>
      <c r="D16" s="4">
        <v>31.6</v>
      </c>
      <c r="E16" s="2">
        <f>C16/(D16*0.000001)/1000</f>
        <v>6.32911392405063</v>
      </c>
      <c r="F16" s="5"/>
    </row>
    <row r="17" spans="3:6">
      <c r="D17" s="4"/>
      <c r="F17" s="5"/>
    </row>
    <row r="18" spans="3:6">
      <c r="C18" s="1">
        <v>0.2</v>
      </c>
      <c r="D18" s="4">
        <v>66.4</v>
      </c>
      <c r="E18" s="2">
        <f>C18/(D18*0.000001)/1000</f>
        <v>3.01204819277108</v>
      </c>
      <c r="F18" s="5"/>
    </row>
    <row r="19" spans="3:6">
      <c r="C19" s="1">
        <v>0.2</v>
      </c>
      <c r="D19" s="4">
        <v>57.3</v>
      </c>
      <c r="E19" s="2">
        <f>C19/(D19*0.000001)/1000</f>
        <v>3.49040139616056</v>
      </c>
      <c r="F19" s="5"/>
    </row>
    <row r="20" spans="3:6">
      <c r="C20" s="1">
        <v>0.2</v>
      </c>
      <c r="D20" s="4">
        <v>56.4</v>
      </c>
      <c r="E20" s="2">
        <f>C20/(D20*0.000001)/1000</f>
        <v>3.54609929078014</v>
      </c>
      <c r="F20" s="5"/>
    </row>
    <row r="21" spans="3:6">
      <c r="C21" s="1">
        <v>0.2</v>
      </c>
      <c r="D21" s="4">
        <v>51.3</v>
      </c>
      <c r="E21" s="2">
        <f>C21/(D21*0.000001)/1000</f>
        <v>3.89863547758285</v>
      </c>
      <c r="F21" s="5"/>
    </row>
    <row r="22" spans="3:6">
      <c r="C22" s="1">
        <v>0.2</v>
      </c>
      <c r="D22" s="4">
        <v>52.3</v>
      </c>
      <c r="E22" s="2">
        <f>C22/(D22*0.000001)/1000</f>
        <v>3.82409177820268</v>
      </c>
      <c r="F22" s="5"/>
    </row>
    <row r="23" spans="3:6">
      <c r="D23" s="4"/>
      <c r="F23" s="5"/>
    </row>
    <row r="24" spans="3:6">
      <c r="D24" s="4"/>
      <c r="F24" s="5"/>
    </row>
    <row r="25" spans="3:6">
      <c r="D25" s="4"/>
      <c r="F25" s="5"/>
    </row>
    <row r="26" spans="3:6">
      <c r="D26" s="4"/>
      <c r="F26" s="5"/>
    </row>
    <row r="27" spans="3:6">
      <c r="D27" s="4"/>
      <c r="F27" s="5"/>
    </row>
    <row r="28" spans="3:6">
      <c r="D28" s="4"/>
      <c r="F28" s="5"/>
    </row>
    <row r="29" spans="3:6">
      <c r="D29" s="4"/>
      <c r="F29" s="5"/>
    </row>
    <row r="30" spans="3:6">
      <c r="D30" s="4"/>
      <c r="F30" s="5"/>
    </row>
    <row r="31" spans="3:6">
      <c r="E31" s="1"/>
      <c r="F31" s="5"/>
    </row>
    <row r="32" spans="3:6">
      <c r="D32" s="4"/>
      <c r="F32" s="5"/>
    </row>
    <row r="33" spans="4:6">
      <c r="D33" s="4"/>
      <c r="F33" s="5"/>
    </row>
    <row r="34" spans="4:6">
      <c r="D34" s="4"/>
      <c r="F34" s="5"/>
    </row>
    <row r="35" spans="4:6">
      <c r="D35" s="4"/>
      <c r="F35" s="5"/>
    </row>
    <row r="36" spans="4:6">
      <c r="D36" s="4"/>
      <c r="F36" s="5"/>
    </row>
    <row r="37" spans="4:6">
      <c r="D37" s="4"/>
      <c r="F37" s="5"/>
    </row>
    <row r="38" spans="4:6">
      <c r="D38" s="4"/>
      <c r="F38" s="5"/>
    </row>
    <row r="39" spans="4:6">
      <c r="D39" s="4"/>
      <c r="F39" s="5"/>
    </row>
    <row r="40" spans="4:6">
      <c r="D40" s="4"/>
      <c r="F40" s="5"/>
    </row>
    <row r="41" spans="4:6">
      <c r="D41" s="4"/>
      <c r="F41" s="5"/>
    </row>
    <row r="42" spans="4:6">
      <c r="D42" s="4"/>
      <c r="F42" s="5"/>
    </row>
    <row r="43" spans="4:6">
      <c r="D43" s="4"/>
      <c r="F43" s="5"/>
    </row>
    <row r="44" spans="4:6">
      <c r="D44" s="4"/>
      <c r="F44" s="5"/>
    </row>
    <row r="45" spans="4:6">
      <c r="D45" s="4"/>
      <c r="F45" s="5"/>
    </row>
    <row r="46" spans="4:6">
      <c r="D46" s="4"/>
      <c r="F46" s="5"/>
    </row>
    <row r="47" spans="4:6">
      <c r="D47" s="4"/>
      <c r="F47" s="5"/>
    </row>
    <row r="48" spans="4:6">
      <c r="D48" s="4"/>
      <c r="F48" s="5"/>
    </row>
    <row r="49" spans="4:6">
      <c r="D49" s="4"/>
      <c r="F49" s="5"/>
    </row>
    <row r="50" spans="4:6">
      <c r="D50" s="4"/>
      <c r="F50" s="5"/>
    </row>
    <row r="51" spans="4:6">
      <c r="D51" s="4"/>
      <c r="F51" s="5"/>
    </row>
    <row r="52" spans="4:6">
      <c r="D52" s="4"/>
      <c r="F52" s="5"/>
    </row>
    <row r="53" spans="4:6">
      <c r="D53" s="4"/>
      <c r="F53" s="5"/>
    </row>
    <row r="54" spans="4:6">
      <c r="D54" s="4"/>
      <c r="F54" s="5"/>
    </row>
    <row r="55" spans="4:6">
      <c r="D55" s="4"/>
      <c r="F55" s="5"/>
    </row>
    <row r="56" spans="4:6">
      <c r="D56" s="4"/>
      <c r="F56" s="5"/>
    </row>
    <row r="57" spans="4:6">
      <c r="E57" s="1"/>
      <c r="F57" s="5"/>
    </row>
    <row r="58" spans="4:6">
      <c r="D58" s="4"/>
      <c r="F58" s="5"/>
    </row>
    <row r="59" spans="4:6">
      <c r="D59" s="4"/>
    </row>
    <row r="60" spans="4:6">
      <c r="D60" s="4"/>
      <c r="F60" s="5"/>
    </row>
    <row r="61" spans="4:6">
      <c r="D61" s="4"/>
      <c r="F61" s="5"/>
    </row>
    <row r="62" spans="4:6">
      <c r="D62" s="4"/>
      <c r="F62" s="5"/>
    </row>
    <row r="63" spans="4:6">
      <c r="D63" s="4"/>
      <c r="F63" s="5"/>
    </row>
    <row r="64" spans="4:6">
      <c r="D64" s="4"/>
      <c r="F64" s="5"/>
    </row>
    <row r="65" spans="4:6">
      <c r="D65" s="4"/>
      <c r="F65" s="5"/>
    </row>
    <row r="66" spans="4:6">
      <c r="D66" s="4"/>
      <c r="F66" s="5"/>
    </row>
    <row r="67" spans="4:6">
      <c r="D67" s="4"/>
      <c r="F67" s="5"/>
    </row>
    <row r="68" spans="4:6">
      <c r="D68" s="4"/>
      <c r="F68" s="5"/>
    </row>
    <row r="69" spans="4:6">
      <c r="D69" s="4"/>
      <c r="F69" s="5"/>
    </row>
    <row r="70" spans="4:6">
      <c r="D70" s="4"/>
      <c r="F70" s="5"/>
    </row>
    <row r="71" spans="4:6">
      <c r="D71" s="4"/>
      <c r="F71" s="5"/>
    </row>
    <row r="72" spans="4:6">
      <c r="D72" s="4"/>
      <c r="F72" s="5"/>
    </row>
    <row r="73" spans="4:6">
      <c r="D73" s="4"/>
    </row>
    <row r="74" spans="4:6">
      <c r="D74" s="4"/>
    </row>
    <row r="75" spans="4:6">
      <c r="D75" s="4"/>
    </row>
    <row r="76" spans="4:6">
      <c r="D76" s="4"/>
      <c r="F76" s="5"/>
    </row>
    <row r="77" spans="4:6">
      <c r="D77" s="4"/>
      <c r="F77" s="5"/>
    </row>
    <row r="78" spans="4:6">
      <c r="D78" s="4"/>
      <c r="F78" s="5"/>
    </row>
    <row r="79" spans="4:6">
      <c r="D79" s="4"/>
      <c r="F79" s="5"/>
    </row>
    <row r="80" spans="4:6">
      <c r="D80" s="4"/>
      <c r="F80" s="5"/>
    </row>
    <row r="81" spans="4:6">
      <c r="D81" s="4"/>
      <c r="F81" s="5"/>
    </row>
    <row r="82" spans="4:6">
      <c r="D82" s="4"/>
      <c r="F82" s="5"/>
    </row>
    <row r="83" spans="4:6">
      <c r="E83" s="1"/>
      <c r="F83" s="5"/>
    </row>
    <row r="84" spans="4:6">
      <c r="D84" s="4"/>
      <c r="F84" s="5"/>
    </row>
    <row r="85" spans="4:6">
      <c r="D85" s="4"/>
      <c r="F85" s="5"/>
    </row>
    <row r="86" spans="4:6">
      <c r="D86" s="4"/>
      <c r="F86" s="5"/>
    </row>
    <row r="87" spans="4:6">
      <c r="D87" s="4"/>
      <c r="F87" s="5"/>
    </row>
    <row r="88" spans="4:6">
      <c r="D88" s="4"/>
      <c r="F88" s="5"/>
    </row>
    <row r="89" spans="4:6">
      <c r="D89" s="4"/>
      <c r="F89" s="5"/>
    </row>
    <row r="90" spans="4:6">
      <c r="D90" s="4"/>
      <c r="F90" s="5"/>
    </row>
    <row r="91" spans="4:6">
      <c r="D91" s="4"/>
      <c r="F91" s="5"/>
    </row>
    <row r="92" spans="4:6">
      <c r="D92" s="4"/>
    </row>
    <row r="93" spans="4:6">
      <c r="D93" s="4"/>
    </row>
    <row r="94" spans="4:6">
      <c r="D94" s="4"/>
    </row>
    <row r="95" spans="4:6">
      <c r="D95" s="4"/>
      <c r="F95" s="5"/>
    </row>
    <row r="96" spans="4:6">
      <c r="D96" s="4"/>
      <c r="F96" s="5"/>
    </row>
    <row r="97" spans="4:6">
      <c r="D97" s="4"/>
      <c r="F97" s="5"/>
    </row>
    <row r="98" spans="4:6">
      <c r="D98" s="4"/>
      <c r="F98" s="5"/>
    </row>
    <row r="99" spans="4:6">
      <c r="D99" s="4"/>
      <c r="F99" s="5"/>
    </row>
    <row r="100" spans="4:6">
      <c r="D100" s="4"/>
      <c r="F100" s="5"/>
    </row>
    <row r="101" spans="4:6">
      <c r="D101" s="4"/>
      <c r="F101" s="5"/>
    </row>
    <row r="102" spans="4:6">
      <c r="D102" s="4"/>
      <c r="F102" s="5"/>
    </row>
    <row r="103" spans="4:6">
      <c r="D103" s="4"/>
      <c r="F103" s="5"/>
    </row>
    <row r="104" spans="4:6">
      <c r="D104" s="4"/>
      <c r="F104" s="5"/>
    </row>
    <row r="105" spans="4:6">
      <c r="D105" s="4"/>
      <c r="F105" s="5"/>
    </row>
    <row r="106" spans="4:6">
      <c r="D106" s="4"/>
      <c r="F106" s="5"/>
    </row>
    <row r="107" spans="4:6">
      <c r="D107" s="4"/>
      <c r="F107" s="5"/>
    </row>
    <row r="108" spans="4:6">
      <c r="D108" s="4"/>
      <c r="F108" s="5"/>
    </row>
    <row r="109" spans="4:6">
      <c r="D109" s="4"/>
      <c r="F109" s="5"/>
    </row>
    <row r="110" spans="4:6">
      <c r="D110" s="4"/>
      <c r="F110" s="5"/>
    </row>
    <row r="111" spans="4:6">
      <c r="D111" s="4"/>
    </row>
    <row r="112" spans="4:6">
      <c r="D112" s="4"/>
    </row>
    <row r="113" spans="4:6">
      <c r="D113" s="4"/>
    </row>
    <row r="114" spans="4:6">
      <c r="D114" s="4"/>
      <c r="F114" s="5"/>
    </row>
    <row r="115" spans="4:6">
      <c r="D115" s="4"/>
      <c r="F115" s="5"/>
    </row>
    <row r="116" spans="4:6">
      <c r="D116" s="4"/>
      <c r="F116" s="5"/>
    </row>
    <row r="117" spans="4:6">
      <c r="D117" s="4"/>
      <c r="F117" s="5"/>
    </row>
    <row r="118" spans="4:6">
      <c r="D118" s="4"/>
      <c r="F118" s="5"/>
    </row>
    <row r="119" spans="4:6">
      <c r="D119" s="4"/>
      <c r="F119" s="5"/>
    </row>
    <row r="120" spans="4:6">
      <c r="D120" s="4"/>
      <c r="F120" s="5"/>
    </row>
    <row r="121" spans="4:6">
      <c r="D121" s="4"/>
      <c r="F121" s="5"/>
    </row>
    <row r="122" spans="4:6">
      <c r="D122" s="4"/>
      <c r="F122" s="5"/>
    </row>
    <row r="123" spans="4:6">
      <c r="D123" s="4"/>
      <c r="F123" s="5"/>
    </row>
    <row r="124" spans="4:6">
      <c r="D124" s="4"/>
      <c r="F124" s="5"/>
    </row>
    <row r="125" spans="4:6">
      <c r="D125" s="4"/>
      <c r="F125" s="5"/>
    </row>
    <row r="126" spans="4:6">
      <c r="D126" s="4"/>
      <c r="F126" s="5"/>
    </row>
    <row r="127" spans="4:6">
      <c r="D127" s="4"/>
      <c r="F127" s="5"/>
    </row>
    <row r="128" spans="4:6">
      <c r="F128" s="5"/>
    </row>
    <row r="129" spans="4:42">
      <c r="D129" s="4"/>
      <c r="F129" s="5"/>
    </row>
    <row r="130" spans="4:42">
      <c r="D130" s="4"/>
    </row>
    <row r="131" spans="4:42">
      <c r="D131" s="4"/>
    </row>
    <row r="132" spans="4:42">
      <c r="D132" s="4"/>
    </row>
    <row r="133" spans="4:42">
      <c r="D133" s="4"/>
      <c r="F133" s="5"/>
    </row>
    <row r="134" spans="4:42">
      <c r="D134" s="4"/>
      <c r="F134" s="5"/>
    </row>
    <row r="135" spans="4:42">
      <c r="D135" s="4"/>
      <c r="F135" s="5"/>
    </row>
    <row r="136" spans="4:42">
      <c r="D136" s="4"/>
      <c r="F136" s="5"/>
    </row>
    <row r="137" spans="4:42">
      <c r="D137" s="4"/>
      <c r="F137" s="5"/>
    </row>
    <row r="138" spans="4:42">
      <c r="D138" s="4"/>
      <c r="F138" s="5"/>
    </row>
    <row r="139" spans="4:42">
      <c r="D139" s="4"/>
      <c r="F139" s="5"/>
    </row>
    <row r="140" spans="4:42">
      <c r="D140" s="4"/>
      <c r="F140" s="5"/>
      <c r="U140" s="3"/>
      <c r="AB140" s="3"/>
      <c r="AI140" s="3"/>
      <c r="AP140" s="3"/>
    </row>
    <row r="141" spans="4:42">
      <c r="D141" s="4"/>
      <c r="F141" s="5"/>
    </row>
    <row r="142" spans="4:42">
      <c r="D142" s="4"/>
      <c r="F142" s="5"/>
    </row>
    <row r="143" spans="4:42">
      <c r="F143" s="5"/>
    </row>
    <row r="144" spans="4:42">
      <c r="D144" s="4"/>
      <c r="F144" s="5"/>
    </row>
    <row r="145" spans="4:35">
      <c r="D145" s="4"/>
      <c r="F145" s="5"/>
    </row>
    <row r="146" spans="4:35">
      <c r="D146" s="4"/>
      <c r="F146" s="5"/>
      <c r="U146" s="3"/>
      <c r="AB146" s="3"/>
      <c r="AI146" s="3"/>
    </row>
    <row r="147" spans="4:35">
      <c r="D147" s="4"/>
      <c r="F147" s="5"/>
      <c r="R147" s="8"/>
    </row>
    <row r="148" spans="4:35">
      <c r="D148" s="4"/>
      <c r="F148" s="5"/>
    </row>
    <row r="149" spans="4:35">
      <c r="D149" s="4"/>
    </row>
    <row r="150" spans="4:35">
      <c r="D150" s="4"/>
    </row>
    <row r="151" spans="4:35">
      <c r="D151" s="4"/>
    </row>
    <row r="152" spans="4:35">
      <c r="D152" s="4"/>
    </row>
    <row r="153" spans="4:35">
      <c r="D153" s="4"/>
    </row>
    <row r="154" spans="4:35">
      <c r="D154" s="4"/>
    </row>
    <row r="155" spans="4:35">
      <c r="D155" s="4"/>
    </row>
    <row r="156" spans="4:35">
      <c r="D156" s="4"/>
    </row>
    <row r="157" spans="4:35">
      <c r="D157" s="4"/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LibreOffice/26.2.5.2$Windows_X86_64 LibreOffice_project/cd7284b4cbbfeb507e630c1aac019f4157393acb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Kivijärvi Heidi</dc:creator>
  <cp:lastModifiedBy>QIMING CHEN</cp:lastModifiedBy>
  <cp:revision>28</cp:revision>
  <dcterms:created xsi:type="dcterms:W3CDTF">2025-01-07T11:01:00Z</dcterms:created>
  <dcterms:modified xsi:type="dcterms:W3CDTF">2026-08-29T12:57:03Z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417DB99C007B0FE2EEAC926AE0317453_42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